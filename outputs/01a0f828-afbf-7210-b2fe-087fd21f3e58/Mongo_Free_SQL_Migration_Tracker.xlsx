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6c6a14503e43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810127e748e64a97"/>
    <x:sheet xmlns:r="http://schemas.openxmlformats.org/officeDocument/2006/relationships" name="Tasks" sheetId="2" r:id="Rad397fdb57a34e27"/>
    <x:sheet xmlns:r="http://schemas.openxmlformats.org/officeDocument/2006/relationships" name="Blockers" sheetId="3" r:id="R7bbb4eec58384a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%"/>
  </x:numFmts>
  <x:fonts count="6">
    <x:font>
      <x:sz val="11"/>
      <x:name val="Carlito"/>
    </x:font>
    <x:font>
      <x:b/>
      <x:sz val="16"/>
      <x:color rgb="FF17365D"/>
      <x:name val="Arial"/>
    </x:font>
    <x:font>
      <x:b/>
      <x:sz val="10"/>
      <x:color rgb="FF17365D"/>
      <x:name val="Arial"/>
    </x:font>
    <x:font>
      <x:b/>
      <x:sz val="10"/>
      <x:color rgb="FFFFFFFF"/>
      <x:name val="Arial"/>
    </x:font>
    <x:font>
      <x:sz val="10"/>
      <x:color rgb="FF243447"/>
      <x:name val="Arial"/>
    </x:font>
    <x:font>
      <x:b/>
      <x:sz val="10"/>
      <x:color rgb="FF24344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3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4" fillId="0" borderId="1" xfId="0" applyNumberFormat="1" applyFont="1" applyFill="1" applyBorder="1"/>
    <x:xf numFmtId="0" fontId="5" fillId="0" borderId="2" xfId="0" applyNumberFormat="1" applyFont="1" applyFill="1" applyBorder="1"/>
    <x:xf numFmtId="0" fontId="4" fillId="0" borderId="2" xfId="0" applyNumberFormat="1" applyFont="1" applyFill="1" applyBorder="1"/>
    <x:xf numFmtId="201" fontId="4" fillId="0" borderId="2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4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4bdfe09e5c49ed" /><Relationship Type="http://schemas.openxmlformats.org/officeDocument/2006/relationships/theme" Target="/xl/theme/theme1.xml" Id="R050428cc4aa94822" /><Relationship Type="http://schemas.openxmlformats.org/officeDocument/2006/relationships/sharedStrings" Target="/xl/sharedStrings.xml" Id="R1a1416c716524725" /><Relationship Type="http://schemas.openxmlformats.org/officeDocument/2006/relationships/worksheet" Target="/xl/worksheets/sheet1.xml" Id="R810127e748e64a97" /><Relationship Type="http://schemas.openxmlformats.org/officeDocument/2006/relationships/worksheet" Target="/xl/worksheets/sheet2.xml" Id="Rad397fdb57a34e27" /><Relationship Type="http://schemas.openxmlformats.org/officeDocument/2006/relationships/worksheet" Target="/xl/worksheets/sheet3.xml" Id="R7bbb4eec58384a40" /></Relationships>
</file>

<file path=xl/tables/table1.xml><?xml version="1.0" encoding="utf-8"?>
<x:table xmlns:x="http://schemas.openxmlformats.org/spreadsheetml/2006/main" id="1" name="MigrationTasks" displayName="MigrationTasks" ref="A1:K89" headerRowCount="1" totalsRowCount="0" totalsRowShown="0">
  <x:tableColumns count="11">
    <x:tableColumn id="1" name="Task ID"/>
    <x:tableColumn id="2" name="Phase"/>
    <x:tableColumn id="3" name="Work package"/>
    <x:tableColumn id="4" name="Task"/>
    <x:tableColumn id="5" name="Acceptance / evidence"/>
    <x:tableColumn id="6" name="Dependencies"/>
    <x:tableColumn id="7" name="Status"/>
    <x:tableColumn id="8" name="Owner"/>
    <x:tableColumn id="9" name="Target date"/>
    <x:tableColumn id="10" name="Completed date"/>
    <x:tableColumn id="11" name="Evidence / 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igrationBlockers" displayName="MigrationBlockers" ref="A1:G7" headerRowCount="1" totalsRowCount="0" totalsRowShown="0">
  <x:tableColumns count="7">
    <x:tableColumn id="1" name="Blocker ID"/>
    <x:tableColumn id="2" name="Blocker"/>
    <x:tableColumn id="3" name="Blocks"/>
    <x:tableColumn id="4" name="Resolution evidence"/>
    <x:tableColumn id="5" name="Status"/>
    <x:tableColumn id="6" name="Owner"/>
    <x:tableColumn id="7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b8e94ae8e2a426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a0e7e4cc1ae40a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6" hidden="0" customWidth="1"/>
    <x:col min="2" max="2" width="72" hidden="0" customWidth="1"/>
    <x:col min="3" max="3" width="18" hidden="0" customWidth="1"/>
    <x:col min="4" max="4" width="18" hidden="0" customWidth="1"/>
  </x:cols>
  <x:sheetData>
    <x:row r="1">
      <x:c r="A1" s="1" t="str">
        <x:v>Mongo-free SQL migration</x:v>
      </x:c>
      <x:c r="B1" s="1"/>
      <x:c r="C1" s="1"/>
      <x:c r="D1" s="1"/>
    </x:row>
    <x:row r="3">
      <x:c r="A3" s="24" t="str">
        <x:v>As of</x:v>
      </x:c>
      <x:c r="B3" s="22" t="n">
        <x:v>46297</x:v>
      </x:c>
    </x:row>
    <x:row r="4">
      <x:c r="A4" s="24" t="str">
        <x:v>Rule</x:v>
      </x:c>
      <x:c r="B4" s="23" t="str">
        <x:v>Existing SQL objects only. No DDL or migrations.</x:v>
      </x:c>
    </x:row>
    <x:row r="5">
      <x:c r="A5" s="24" t="str">
        <x:v>Update process</x:v>
      </x:c>
      <x:c r="B5" s="23" t="str">
        <x:v>When a migration task is completed, set Status to Done and fill Completed Date and Evidence / Notes.</x:v>
      </x:c>
    </x:row>
    <x:row r="7">
      <x:c r="A7" s="7" t="str">
        <x:v>Progress</x:v>
      </x:c>
      <x:c r="B7" s="7" t="str">
        <x:v>Count / Value</x:v>
      </x:c>
    </x:row>
    <x:row r="8">
      <x:c r="A8" s="12" t="str">
        <x:v>Total tasks</x:v>
      </x:c>
      <x:c r="B8" s="13" t="n">
        <x:f>COUNTA(Tasks!A2:A89)</x:f>
        <x:v>88</x:v>
      </x:c>
    </x:row>
    <x:row r="9">
      <x:c r="A9" s="14" t="str">
        <x:v>Completed</x:v>
      </x:c>
      <x:c r="B9" s="15" t="n">
        <x:f>COUNTIF(Tasks!G2:G89,"Done")</x:f>
        <x:v>53</x:v>
      </x:c>
    </x:row>
    <x:row r="10">
      <x:c r="A10" s="14" t="str">
        <x:v>In progress</x:v>
      </x:c>
      <x:c r="B10" s="15" t="n">
        <x:f>COUNTIF(Tasks!G2:G89,"In Progress")</x:f>
        <x:v>4</x:v>
      </x:c>
    </x:row>
    <x:row r="11">
      <x:c r="A11" s="14" t="str">
        <x:v>Blocked</x:v>
      </x:c>
      <x:c r="B11" s="15" t="n">
        <x:f>COUNTIF(Tasks!G2:G89,"Blocked")</x:f>
        <x:v>20</x:v>
      </x:c>
    </x:row>
    <x:row r="12">
      <x:c r="A12" s="14" t="str">
        <x:v>Not started</x:v>
      </x:c>
      <x:c r="B12" s="15" t="n">
        <x:f>COUNTIF(Tasks!G2:G89,"Not Started")</x:f>
        <x:v>11</x:v>
      </x:c>
    </x:row>
    <x:row r="13">
      <x:c r="A13" s="14" t="str">
        <x:v>Completion</x:v>
      </x:c>
      <x:c r="B13" s="16" t="n">
        <x:f>IF(B8=0,0,B9/B8)</x:f>
        <x:v>0.6022727272727273</x:v>
      </x:c>
    </x:row>
    <x:row r="14">
      <x:c r="A14" s="14" t="str">
        <x:v>Open blockers</x:v>
      </x:c>
      <x:c r="B14" s="15" t="n">
        <x:f>COUNTIF(Blockers!E2:E9,"Open")</x:f>
        <x:v>8</x:v>
      </x:c>
    </x:row>
    <x:row r="17">
      <x:c r="A17" s="18" t="str">
        <x:v>How to maintain this tracker</x:v>
      </x:c>
      <x:c r="B17" s="18"/>
      <x:c r="C17" s="18"/>
      <x:c r="D17" s="18"/>
    </x:row>
    <x:row r="18" ht="30" customHeight="1">
      <x:c r="A18" s="20" t="str">
        <x:v>Update the matching task row after implementation and verification. Set Status, Completed Date and Evidence / Notes. Keep blocked tasks open until the stated SQL-schema evidence or product decision is recorded. No database schema changes are allowed.</x:v>
      </x:c>
      <x:c r="B18" s="20"/>
      <x:c r="C18" s="20"/>
      <x:c r="D18" s="20"/>
    </x:row>
    <x:row r="19" ht="30" customHeight="1">
      <x:c r="A19" s="20"/>
      <x:c r="B19" s="20"/>
      <x:c r="C19" s="20"/>
      <x:c r="D19" s="20"/>
    </x:row>
  </x:sheetData>
  <x:mergeCells>
    <x:mergeCell ref="A18:D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30" hidden="0" customWidth="1"/>
    <x:col min="3" max="3" width="42" hidden="0" customWidth="1"/>
    <x:col min="4" max="4" width="72" hidden="0" customWidth="1"/>
    <x:col min="5" max="5" width="68" hidden="0" customWidth="1"/>
    <x:col min="6" max="6" width="42" hidden="0" customWidth="1"/>
    <x:col min="7" max="7" width="17" hidden="0" customWidth="1"/>
    <x:col min="8" max="8" width="18" hidden="0" customWidth="1"/>
    <x:col min="9" max="9" width="16" hidden="0" customWidth="1"/>
    <x:col min="10" max="10" width="16" hidden="0" customWidth="1"/>
    <x:col min="11" max="11" width="54" hidden="0" customWidth="1"/>
  </x:cols>
  <x:sheetData>
    <x:row r="1" ht="34" customHeight="1">
      <x:c r="A1" s="27" t="str">
        <x:v>Task ID</x:v>
      </x:c>
      <x:c r="B1" s="27" t="str">
        <x:v>Phase</x:v>
      </x:c>
      <x:c r="C1" s="27" t="str">
        <x:v>Work package</x:v>
      </x:c>
      <x:c r="D1" s="27" t="str">
        <x:v>Task</x:v>
      </x:c>
      <x:c r="E1" s="27" t="str">
        <x:v>Acceptance / evidence</x:v>
      </x:c>
      <x:c r="F1" s="27" t="str">
        <x:v>Dependencies</x:v>
      </x:c>
      <x:c r="G1" s="27" t="str">
        <x:v>Status</x:v>
      </x:c>
      <x:c r="H1" s="27" t="str">
        <x:v>Owner</x:v>
      </x:c>
      <x:c r="I1" s="27" t="str">
        <x:v>Target date</x:v>
      </x:c>
      <x:c r="J1" s="27" t="str">
        <x:v>Completed date</x:v>
      </x:c>
      <x:c r="K1" s="27" t="str">
        <x:v>Evidence / notes</x:v>
      </x:c>
    </x:row>
    <x:row r="2">
      <x:c r="A2" s="20" t="str">
        <x:v>SQL-001</x:v>
      </x:c>
      <x:c r="B2" s="20" t="str">
        <x:v>0. Freeze SQL contract and create evidence</x:v>
      </x:c>
      <x:c r="C2" s="20" t="str">
        <x:v>0.1 Verify databases and schema without writes</x:v>
      </x:c>
      <x:c r="D2" s="20" t="str">
        <x:v>Confirm the configured SSS connection and any already-configured ERP SQL connection, database names, and read/write identities.</x:v>
      </x:c>
      <x:c r="E2" s="20" t="str">
        <x:v>there is a current metadata snapshot and a reviewed list of allowed existing tables/columns; no data or schema was changed.</x:v>
      </x:c>
      <x:c r="F2" s="20" t="str">
        <x:v>None</x:v>
      </x:c>
      <x:c r="G2" s="20" t="str">
        <x:v>Done</x:v>
      </x:c>
      <x:c r="H2" s="20" t="str"/>
      <x:c r="I2" s="28"/>
      <x:c r="J2" s="28" t="n">
        <x:v>46297</x:v>
      </x:c>
      <x:c r="K2" s="20" t="str">
        <x:v>Verified read-only connection to SSS_copy as erp_readonly; check returned dbo.stockdetails=80,997 and dbo.newproduct=224. Metadata checks confirmed erp_pos_writer connects to SSS_copy, can INSERT dbo.sales2 and dbo.salsntry and UPDATE dbo.newproduct. Both identities lack CREATE TABLE and ALTER ANY SCHEMA. Separate ERP SQL credentials are not configured; check:erp-sql stopped because ERP_SQL_DB_NAME is missing. No SQL writes or DDL were performed.</x:v>
      </x:c>
    </x:row>
    <x:row r="3">
      <x:c r="A3" s="20" t="str">
        <x:v>SQL-002</x:v>
      </x:c>
      <x:c r="B3" s="20" t="str">
        <x:v>0. Freeze SQL contract and create evidence</x:v>
      </x:c>
      <x:c r="C3" s="20" t="str">
        <x:v>0.1 Verify databases and schema without writes</x:v>
      </x:c>
      <x:c r="D3" s="20" t="str">
        <x:v>Make application credentials unable to perform DDL where deployment allows: deny schema creation/alteration and migration permissions.</x:v>
      </x:c>
      <x:c r="E3" s="20" t="str">
        <x:v>there is a current metadata snapshot and a reviewed list of allowed existing tables/columns; no data or schema was changed.</x:v>
      </x:c>
      <x:c r="F3" s="20" t="str">
        <x:v>None</x:v>
      </x:c>
      <x:c r="G3" s="20" t="str">
        <x:v>Blocked</x:v>
      </x:c>
      <x:c r="H3" s="20" t="str"/>
      <x:c r="I3" s="28"/>
      <x:c r="J3" s="28" t="n">
        <x:v>46297</x:v>
      </x:c>
      <x:c r="K3" s="20" t="str">
        <x:v>Read-only permission check: erp_admin connects to SSS_copy as dbo and is sysadmin/db_owner/db_ddladmin with CREATE TABLE, CREATE SCHEMA, ALTER ANY SCHEMA/USER/ROLE, and CONTROL. Backend loads these credentials and invokes ensureErpDbAccess at startup and during access recovery; it creates/alters database users and grants. Regular erp_readonly and erp_pos_writer logins lack schema DDL, but elevated runtime provisioning remains enabled. No writes, grants, or schema changes were executed.</x:v>
      </x:c>
    </x:row>
    <x:row r="4">
      <x:c r="A4" s="20" t="str">
        <x:v>SQL-003</x:v>
      </x:c>
      <x:c r="B4" s="20" t="str">
        <x:v>0. Freeze SQL contract and create evidence</x:v>
      </x:c>
      <x:c r="C4" s="20" t="str">
        <x:v>0.1 Verify databases and schema without writes</x:v>
      </x:c>
      <x:c r="D4" s="20" t="str">
        <x:v>Refresh table/column/key/index metadata and approximate row counts using read-only queries; compare with docs/mongo-to-sql-live-schema/schema-report.json.</x:v>
      </x:c>
      <x:c r="E4" s="20" t="str">
        <x:v>there is a current metadata snapshot and a reviewed list of allowed existing tables/columns; no data or schema was changed.</x:v>
      </x:c>
      <x:c r="F4" s="20" t="str">
        <x:v>None</x:v>
      </x:c>
      <x:c r="G4" s="20" t="str">
        <x:v>Done</x:v>
      </x:c>
      <x:c r="H4" s="20" t="str"/>
      <x:c r="I4" s="28"/>
      <x:c r="J4" s="28" t="n">
        <x:v>46297</x:v>
      </x:c>
      <x:c r="K4" s="20" t="str">
        <x:v>Read-only schema discovery refreshed SSS_copy metadata on 2026-10-02: 503 tables, 17,285 columns, 183 tables with rows, 3 foreign keys, and 677 programmable objects. Compared against docs/mongo-to-sql-live-schema/schema-report.json: all 503 table names and all column-name sets match; no added/missing tables or column differences. Snapshot: backend/textilesoft-discovery/schema-SSS_copy/schema.json. SQL-001 connection evidence confirms SSS_copy row counts for stockdetails (80,997) and newproduct (224). Metadata-only SELECTs; no writes or DDL.</x:v>
      </x:c>
    </x:row>
    <x:row r="5">
      <x:c r="A5" s="20" t="str">
        <x:v>SQL-004</x:v>
      </x:c>
      <x:c r="B5" s="20" t="str">
        <x:v>0. Freeze SQL contract and create evidence</x:v>
      </x:c>
      <x:c r="C5" s="20" t="str">
        <x:v>0.1 Verify databases and schema without writes</x:v>
      </x:c>
      <x:c r="D5" s="20" t="str">
        <x:v>Verify required existing erp.* objects used by runtime SQL paths are present. Do not apply their repository migrations if absent.</x:v>
      </x:c>
      <x:c r="E5" s="20" t="str">
        <x:v>there is a current metadata snapshot and a reviewed list of allowed existing tables/columns; no data or schema was changed.</x:v>
      </x:c>
      <x:c r="F5" s="20" t="str">
        <x:v>None</x:v>
      </x:c>
      <x:c r="G5" s="20" t="str">
        <x:v>Blocked</x:v>
      </x:c>
      <x:c r="H5" s="20" t="str"/>
      <x:c r="I5" s="28"/>
      <x:c r="J5" s="28" t="n">
        <x:v>46297</x:v>
      </x:c>
      <x:c r="K5" s="20" t="str">
        <x:v>Read-only comparison of SQL references in backend/src with the 2026-10-02 SSS_copy snapshot found 3 referenced objects absent from live erp schema: erp.sales_idempotency (sqlPosWriter), erp.sales_return_allocation (sqlPosWriter/sqlReturnsAudit), and erp.supplier_group_member (sqlPartyReports). Other referenced erp tables are present. No migrations or DDL were applied; B-02 covers the POS tables, supplier_group_member is an additional report-path blocker.</x:v>
      </x:c>
    </x:row>
    <x:row r="6">
      <x:c r="A6" s="20" t="str">
        <x:v>SQL-005</x:v>
      </x:c>
      <x:c r="B6" s="20" t="str">
        <x:v>0. Freeze SQL contract and create evidence</x:v>
      </x:c>
      <x:c r="C6" s="20" t="str">
        <x:v>0.1 Verify databases and schema without writes</x:v>
      </x:c>
      <x:c r="D6" s="20" t="str">
        <x:v>For each candidate table, document primary/business key, uniqueness evidence, nullability, relevant foreign keys, data types, tenant/branch scope, and semantic owner.</x:v>
      </x:c>
      <x:c r="E6" s="20" t="str">
        <x:v>there is a current metadata snapshot and a reviewed list of allowed existing tables/columns; no data or schema was changed.</x:v>
      </x:c>
      <x:c r="F6" s="20" t="str">
        <x:v>None</x:v>
      </x:c>
      <x:c r="G6" s="20" t="str">
        <x:v>Done</x:v>
      </x:c>
      <x:c r="H6" s="20" t="str"/>
      <x:c r="I6" s="28"/>
      <x:c r="J6" s="28" t="n">
        <x:v>46297</x:v>
      </x:c>
      <x:c r="K6" s="20" t="str">
        <x:v>Generated docs/mongo-to-sql-live-schema/SQL_CANDIDATE_TABLE_EVIDENCE_2026-10-02.md from the live SSS_copy snapshot. Covers 62 distinct dbo/erp objects referenced in static backend SQL with columns/types/nullability/defaults/identity, PK and unique-index evidence, FK links, approximate rows, tenant/branch/location candidate columns, and source-file runtime owners. Three missing erp objects are explicitly identified. Business semantics are not inferred from names and remain a page-level follow-up; no row data or DDL was used.</x:v>
      </x:c>
    </x:row>
    <x:row r="7">
      <x:c r="A7" s="20" t="str">
        <x:v>SQL-006</x:v>
      </x:c>
      <x:c r="B7" s="20" t="str">
        <x:v>0. Freeze SQL contract and create evidence</x:v>
      </x:c>
      <x:c r="C7" s="20" t="str">
        <x:v>0.1 Verify databases and schema without writes</x:v>
      </x:c>
      <x:c r="D7" s="20" t="str">
        <x:v>Record unavailable database access or unverified table semantics as a blocker; do not infer compatibility from a table name.</x:v>
      </x:c>
      <x:c r="E7" s="20" t="str">
        <x:v>there is a current metadata snapshot and a reviewed list of allowed existing tables/columns; no data or schema was changed.</x:v>
      </x:c>
      <x:c r="F7" s="20" t="str">
        <x:v>None</x:v>
      </x:c>
      <x:c r="G7" s="20" t="str">
        <x:v>Done</x:v>
      </x:c>
      <x:c r="H7" s="20" t="str"/>
      <x:c r="I7" s="28"/>
      <x:c r="J7" s="28" t="n">
        <x:v>46297</x:v>
      </x:c>
      <x:c r="K7" s="20" t="str">
        <x:v>Recorded observed blockers without inferring SQL compatibility: B-01 through B-06 cover unproven customer key, missing POS SQL objects, document lifecycles, finance ledger semantics, legacy UI/API paths, and HR/audit/sync/marketing targets. Added B-07 for elevated runtime admin credentials and B-08 for the absent separate ERP_SQL connection; updated B-02 with missing supplier_group_member. No data or schema changes.</x:v>
      </x:c>
    </x:row>
    <x:row r="8">
      <x:c r="A8" s="20" t="str">
        <x:v>SQL-007</x:v>
      </x:c>
      <x:c r="B8" s="20" t="str">
        <x:v>0. Freeze SQL contract and create evidence</x:v>
      </x:c>
      <x:c r="C8" s="20" t="str">
        <x:v>0.2 Inventory all pages, endpoints and runtime entry points</x:v>
      </x:c>
      <x:c r="D8" s="20" t="str">
        <x:v>Export the UI screen list from menu, route definitions, module registry and nested navigation.</x:v>
      </x:c>
      <x:c r="E8" s="20" t="str">
        <x:v>every menu page and every Mongo model/query/write has a named disposition and no untraced runtime entry point remains.</x:v>
      </x:c>
      <x:c r="F8" s="20" t="str">
        <x:v>None</x:v>
      </x:c>
      <x:c r="G8" s="20" t="str">
        <x:v>Done</x:v>
      </x:c>
      <x:c r="H8" s="20" t="str"/>
      <x:c r="I8" s="28"/>
      <x:c r="J8" s="28" t="n">
        <x:v>46297</x:v>
      </x:c>
      <x:c r="K8" s="20" t="str">
        <x:v>Created docs/MONGO_FREE_SQL_SCREEN_INVENTORY_2026-10-02.md from menu.config.ts, RouteDefinitions.tsx, ModuleRegistry.ts, and ModuleRenderer.tsx: 119 menu entries with nesting, 133 direct route paths, 142 lazy registry entries, 208 unique viewMode keys. Includes path-to-module/redirect data and documents permission filtering, duplicate/alias routes, and fallback behavior. Static UI inventory only; API/DB tracing remains later work.</x:v>
      </x:c>
    </x:row>
    <x:row r="9">
      <x:c r="A9" s="20" t="str">
        <x:v>SQL-008</x:v>
      </x:c>
      <x:c r="B9" s="20" t="str">
        <x:v>0. Freeze SQL contract and create evidence</x:v>
      </x:c>
      <x:c r="C9" s="20" t="str">
        <x:v>0.2 Inventory all pages, endpoints and runtime entry points</x:v>
      </x:c>
      <x:c r="D9" s="20" t="str">
        <x:v>For every screen, trace UI component → API method/path → route mount → controller → service/repository → SQL table or Mongo model.</x:v>
      </x:c>
      <x:c r="E9" s="20" t="str">
        <x:v>every menu page and every Mongo model/query/write has a named disposition and no untraced runtime entry point remains.</x:v>
      </x:c>
      <x:c r="F9" s="20" t="str">
        <x:v>None</x:v>
      </x:c>
      <x:c r="G9" s="20" t="str">
        <x:v>In Progress</x:v>
      </x:c>
      <x:c r="H9" s="20" t="str"/>
      <x:c r="I9" s="28"/>
      <x:c r="J9" s="28"/>
      <x:c r="K9" s="20" t="str">
        <x:v>Completed the source inventory of menu IDs, nested navigation, route paths and lazy modules. Full screen-specific UI API → mounted route → controller/service → SQL/Mongo mapping is still outstanding; see docs/MONGO_FREE_SQL_SCREEN_INVENTORY_2026-10-02.md and docs/MONGO_FREE_RUNTIME_ENTRYPOINT_AUDIT_2026-10-02.md.</x:v>
      </x:c>
    </x:row>
    <x:row r="10">
      <x:c r="A10" s="20" t="str">
        <x:v>SQL-009</x:v>
      </x:c>
      <x:c r="B10" s="20" t="str">
        <x:v>0. Freeze SQL contract and create evidence</x:v>
      </x:c>
      <x:c r="C10" s="20" t="str">
        <x:v>0.2 Inventory all pages, endpoints and runtime entry points</x:v>
      </x:c>
      <x:c r="D10" s="20" t="str">
        <x:v>Include background jobs, timers, queue workers, websocket handlers, sync, restore, scheduled tasks and startup/shutdown imports.</x:v>
      </x:c>
      <x:c r="E10" s="20" t="str">
        <x:v>every menu page and every Mongo model/query/write has a named disposition and no untraced runtime entry point remains.</x:v>
      </x:c>
      <x:c r="F10" s="20" t="str">
        <x:v>None</x:v>
      </x:c>
      <x:c r="G10" s="20" t="str">
        <x:v>Done</x:v>
      </x:c>
      <x:c r="H10" s="20" t="str"/>
      <x:c r="I10" s="28"/>
      <x:c r="J10" s="28" t="n">
        <x:v>46297</x:v>
      </x:c>
      <x:c r="K10" s="20" t="str">
        <x:v>Static runtime-entrypoint review documented in docs/MONGO_FREE_RUNTIME_ENTRYPOINT_AUDIT_2026-10-02.md: active SQL-only server mounts/startup/shutdown, browser offline sync/timers, unmounted restore route, unreferenced queue/audit/cache modules, and no backend WebSocket/cron worker found. SQL admin bootstrap path remains separately blocked as B-07.</x:v>
      </x:c>
    </x:row>
    <x:row r="11">
      <x:c r="A11" s="20" t="str">
        <x:v>SQL-010</x:v>
      </x:c>
      <x:c r="B11" s="20" t="str">
        <x:v>0. Freeze SQL contract and create evidence</x:v>
      </x:c>
      <x:c r="C11" s="20" t="str">
        <x:v>0.2 Inventory all pages, endpoints and runtime entry points</x:v>
      </x:c>
      <x:c r="D11" s="20" t="str">
        <x:v>Mark every path SQL complete, SQL partial, Mongo legacy, no API, external integration, or blocked: no compatible SQL object.</x:v>
      </x:c>
      <x:c r="E11" s="20" t="str">
        <x:v>every menu page and every Mongo model/query/write has a named disposition and no untraced runtime entry point remains.</x:v>
      </x:c>
      <x:c r="F11" s="20" t="str">
        <x:v>None</x:v>
      </x:c>
      <x:c r="G11" s="20" t="str">
        <x:v>In Progress</x:v>
      </x:c>
      <x:c r="H11" s="20" t="str"/>
      <x:c r="I11" s="28"/>
      <x:c r="J11" s="28"/>
      <x:c r="K11" s="20" t="str">
        <x:v>Classified current SQL-only mount groups and known legacy/unavailable path groups in docs/MONGO_FREE_RUNTIME_ENTRYPOINT_AUDIT_2026-10-02.md. Per-screen and per-Mongo-model/query/write status labeling is not yet complete.</x:v>
      </x:c>
    </x:row>
    <x:row r="12">
      <x:c r="A12" s="20" t="str">
        <x:v>SQL-011</x:v>
      </x:c>
      <x:c r="B12" s="20" t="str">
        <x:v>0. Freeze SQL contract and create evidence</x:v>
      </x:c>
      <x:c r="C12" s="20" t="str">
        <x:v>0.2 Inventory all pages, endpoints and runtime entry points</x:v>
      </x:c>
      <x:c r="D12" s="20" t="str">
        <x:v>Record page-specific behavior that is retained, simplified, or unavailable.</x:v>
      </x:c>
      <x:c r="E12" s="20" t="str">
        <x:v>every menu page and every Mongo model/query/write has a named disposition and no untraced runtime entry point remains.</x:v>
      </x:c>
      <x:c r="F12" s="20" t="str">
        <x:v>None</x:v>
      </x:c>
      <x:c r="G12" s="20" t="str">
        <x:v>In Progress</x:v>
      </x:c>
      <x:c r="H12" s="20" t="str"/>
      <x:c r="I12" s="28"/>
      <x:c r="J12" s="28"/>
      <x:c r="K12" s="20" t="str">
        <x:v>POS behavior documented in docs/SQL_POS_PATH_AUDIT_2026-10-02.md. Other screens still need page-specific retained/simplified/unavailable behavior analysis.</x:v>
      </x:c>
    </x:row>
    <x:row r="13">
      <x:c r="A13" s="20" t="str">
        <x:v>SQL-012</x:v>
      </x:c>
      <x:c r="B13" s="20" t="str">
        <x:v>1. Sales and POS</x:v>
      </x:c>
      <x:c r="C13" s="20" t="str">
        <x:v>1.1 POS terminal and SQL bill writer</x:v>
      </x:c>
      <x:c r="D13" s="20" t="str">
        <x:v>Trace catalogue, barcode lookup, counters, billing limits, preview, checkout, offline queue and retry from UI to SQL.</x:v>
      </x:c>
      <x:c r="E13" s="20" t="str">
        <x:v>barcode sale and supported tender persist once to the shop database; totals/stock reconcile; DB failure fails closed or queues according to the documented offline contract; no Mongo read/write occurs.</x:v>
      </x:c>
      <x:c r="F13" s="20" t="str">
        <x:v>0.1 schema verification; 0.2 page/API inventory</x:v>
      </x:c>
      <x:c r="G13" s="20" t="str">
        <x:v>Blocked</x:v>
      </x:c>
      <x:c r="H13" s="20" t="str"/>
      <x:c r="I13" s="28"/>
      <x:c r="J13" s="28"/>
      <x:c r="K13" s="20" t="str">
        <x:v>SQL POS path traced from POSModule/usePOSLogic/usePOSCheckout → POST /api/pos/invoice/preview and /api/pos/invoice → posSql.routes.ts → PosSqlController → writePosBillToSql → dbo.sales2/salsntry. Missing erp.sales_idempotency makes exactly-once retry unsafe; missing erp.sales_return_allocation prevents durable returned-quantity/source-line checks. No end-to-end bill or DB write was performed. See docs/SQL_POS_PATH_AUDIT_2026-10-02.md and blocker B-02.</x:v>
      </x:c>
    </x:row>
    <x:row r="14">
      <x:c r="A14" s="20" t="str">
        <x:v>SQL-013</x:v>
      </x:c>
      <x:c r="B14" s="20" t="str">
        <x:v>1. Sales and POS</x:v>
      </x:c>
      <x:c r="C14" s="20" t="str">
        <x:v>1.1 POS terminal and SQL bill writer</x:v>
      </x:c>
      <x:c r="D14" s="20" t="str">
        <x:v>Confirm existing dbo.sales2, dbo.salsntry, product, stock, counter and GST fields match the writer's reads/writes.</x:v>
      </x:c>
      <x:c r="E14" s="20" t="str">
        <x:v>barcode sale and supported tender persist once to the shop database; totals/stock reconcile; DB failure fails closed or queues according to the documented offline contract; no Mongo read/write occurs.</x:v>
      </x:c>
      <x:c r="F14" s="20" t="str">
        <x:v>0.1 schema verification; 0.2 page/API inventory</x:v>
      </x:c>
      <x:c r="G14" s="20" t="str">
        <x:v>Done</x:v>
      </x:c>
      <x:c r="H14" s="20" t="str"/>
      <x:c r="I14" s="28"/>
      <x:c r="J14" s="28" t="n">
        <x:v>46297</x:v>
      </x:c>
      <x:c r="K14" s="20" t="str">
        <x:v>Schema snapshot confirms POS-used columns exist in sales2, salsntry, purentrydetails, newproduct, stockdetails, countername, bill_option, gstgroup, specialcondion, and return-source tables. Header/line inserts filter optional columns against live metadata; presence verified, business totals still require transaction reconciliation.</x:v>
      </x:c>
    </x:row>
    <x:row r="15">
      <x:c r="A15" s="20" t="str">
        <x:v>SQL-014</x:v>
      </x:c>
      <x:c r="B15" s="20" t="str">
        <x:v>1. Sales and POS</x:v>
      </x:c>
      <x:c r="C15" s="20" t="str">
        <x:v>1.1 POS terminal and SQL bill writer</x:v>
      </x:c>
      <x:c r="D15" s="20" t="str">
        <x:v>Verify erp.sales_idempotency and erp.sales_return_allocation already exist with compatible columns before retaining paths that reference them. Do not run migration 004.</x:v>
      </x:c>
      <x:c r="E15" s="20" t="str">
        <x:v>barcode sale and supported tender persist once to the shop database; totals/stock reconcile; DB failure fails closed or queues according to the documented offline contract; no Mongo read/write occurs.</x:v>
      </x:c>
      <x:c r="F15" s="20" t="str">
        <x:v>0.1 schema verification; 0.2 page/API inventory</x:v>
      </x:c>
      <x:c r="G15" s="20" t="str">
        <x:v>Blocked</x:v>
      </x:c>
      <x:c r="H15" s="20" t="str"/>
      <x:c r="I15" s="28"/>
      <x:c r="J15" s="28"/>
      <x:c r="K15" s="20" t="str">
        <x:v>Read-only schema snapshot confirms erp.sales_idempotency and erp.sales_return_allocation are absent. Per no-DDL rule neither repository migration was run; retry dedupe and exact return allocation remain blocked under B-02.</x:v>
      </x:c>
    </x:row>
    <x:row r="16">
      <x:c r="A16" s="20" t="str">
        <x:v>SQL-015</x:v>
      </x:c>
      <x:c r="B16" s="20" t="str">
        <x:v>1. Sales and POS</x:v>
      </x:c>
      <x:c r="C16" s="20" t="str">
        <x:v>1.1 POS terminal and SQL bill writer</x:v>
      </x:c>
      <x:c r="D16" s="20" t="str">
        <x:v>Remove any Mongo Item lookup, catalogue mirror, fallback or ObjectId dependency from the active POS path.</x:v>
      </x:c>
      <x:c r="E16" s="20" t="str">
        <x:v>barcode sale and supported tender persist once to the shop database; totals/stock reconcile; DB failure fails closed or queues according to the documented offline contract; no Mongo read/write occurs.</x:v>
      </x:c>
      <x:c r="F16" s="20" t="str">
        <x:v>0.1 schema verification; 0.2 page/API inventory</x:v>
      </x:c>
      <x:c r="G16" s="20" t="str">
        <x:v>Done</x:v>
      </x:c>
      <x:c r="H16" s="20" t="str"/>
      <x:c r="I16" s="28"/>
      <x:c r="J16" s="28" t="n">
        <x:v>46297</x:v>
      </x:c>
      <x:c r="K16" s="20" t="str">
        <x:v>Active /api/pos route is mounted to posSql.routes.ts; controller resolves barcode via SQL findByKeyDirect and inventory SQL lookup. Static call-path scan found no Mongoose Item model, ObjectId, catalogue mirror, or Mongo fallback; unrelated unmounted legacy modules are outside this path. Evidence in SQL_POS_PATH_AUDIT_2026-10-02.md.</x:v>
      </x:c>
    </x:row>
    <x:row r="17">
      <x:c r="A17" s="20" t="str">
        <x:v>SQL-016</x:v>
      </x:c>
      <x:c r="B17" s="20" t="str">
        <x:v>1. Sales and POS</x:v>
      </x:c>
      <x:c r="C17" s="20" t="str">
        <x:v>1.1 POS terminal and SQL bill writer</x:v>
      </x:c>
      <x:c r="D17" s="20" t="str">
        <x:v>Document current unsupported behavior: customer credit, loyalty points, and cash-book side effects; ensure checkout does not imply those were persisted.</x:v>
      </x:c>
      <x:c r="E17" s="20" t="str">
        <x:v>barcode sale and supported tender persist once to the shop database; totals/stock reconcile; DB failure fails closed or queues according to the documented offline contract; no Mongo read/write occurs.</x:v>
      </x:c>
      <x:c r="F17" s="20" t="str">
        <x:v>0.1 schema verification; 0.2 page/API inventory</x:v>
      </x:c>
      <x:c r="G17" s="20" t="str">
        <x:v>Done</x:v>
      </x:c>
      <x:c r="H17" s="20" t="str"/>
      <x:c r="I17" s="28"/>
      <x:c r="J17" s="28" t="n">
        <x:v>46297</x:v>
      </x:c>
      <x:c r="K17" s="20" t="str">
        <x:v>Controller ignores customer/loyalty fields and hard-codes hasCustomer=false; unpaid/credit tender is rejected by posTenders. Sale finance side effect is addTransaction to Redux only; no cash-book insert is in SQL POS writer. Audit documents explicit retained/unavailable behavior and avoids claiming these effects persisted.</x:v>
      </x:c>
    </x:row>
    <x:row r="18">
      <x:c r="A18" s="20" t="str">
        <x:v>SQL-017</x:v>
      </x:c>
      <x:c r="B18" s="20" t="str">
        <x:v>1. Sales and POS</x:v>
      </x:c>
      <x:c r="C18" s="20" t="str">
        <x:v>1.1 POS terminal and SQL bill writer</x:v>
      </x:c>
      <x:c r="D18" s="20" t="str">
        <x:v>Reconcile bill totals, GST, discounts, stock decrement, returned quantities, retries and duplicate submissions against representative SQL bills.</x:v>
      </x:c>
      <x:c r="E18" s="20" t="str">
        <x:v>barcode sale and supported tender persist once to the shop database; totals/stock reconcile; DB failure fails closed or queues according to the documented offline contract; no Mongo read/write occurs.</x:v>
      </x:c>
      <x:c r="F18" s="20" t="str">
        <x:v>0.1 schema verification; 0.2 page/API inventory</x:v>
      </x:c>
      <x:c r="G18" s="20" t="str">
        <x:v>Blocked</x:v>
      </x:c>
      <x:c r="H18" s="20" t="str"/>
      <x:c r="I18" s="28"/>
      <x:c r="J18" s="28"/>
      <x:c r="K18" s="20" t="str">
        <x:v>No representative existing bill rows were reconciled in this pass; totals/GST/discount and stock results therefore remain unverified. Exactly-once retry validation is impossible while erp.sales_idempotency is absent, and return quantity/source matching is limited by missing erp.sales_return_allocation. No bill was written; no DDL/tests run.</x:v>
      </x:c>
    </x:row>
    <x:row r="19">
      <x:c r="A19" s="20" t="str">
        <x:v>SQL-018</x:v>
      </x:c>
      <x:c r="B19" s="20" t="str">
        <x:v>1. Sales and POS</x:v>
      </x:c>
      <x:c r="C19" s="20" t="str">
        <x:v>1.2 Sales register, invoice detail and receipt</x:v>
      </x:c>
      <x:c r="D19" s="20" t="str">
        <x:v>Replace /api/sales-invoice/* UI dependencies with explicit SQL list/detail/report endpoints, or classify the operation unavailable.</x:v>
      </x:c>
      <x:c r="E19" s="20" t="str">
        <x:v>the register shows only SQL rows with truthful totals and paging; detail/receipt match the persisted bill; unsupported mutations are visibly unavailable.</x:v>
      </x:c>
      <x:c r="F19" s="20" t="str">
        <x:v>0.1 schema verification; 0.2 page/API inventory</x:v>
      </x:c>
      <x:c r="G19" s="20" t="str">
        <x:v>Done</x:v>
      </x:c>
      <x:c r="H19" s="20" t="str"/>
      <x:c r="I19" s="28"/>
      <x:c r="J19" s="28" t="n">
        <x:v>46297</x:v>
      </x:c>
      <x:c r="K19" s="20" t="str">
        <x:v>SQL-only app mounts /api/sales-invoice to salesSql.routes.ts. Register list, detail, and summary now return the response envelope expected by frontend reducers and read sales2/salsntry; dues are shown as unavailable where SQL summary has no dues source. Audit: docs/SQL_POS_PATH_AUDIT_2026-10-02.md.</x:v>
      </x:c>
    </x:row>
    <x:row r="20">
      <x:c r="A20" s="20" t="str">
        <x:v>SQL-019</x:v>
      </x:c>
      <x:c r="B20" s="20" t="str">
        <x:v>1. Sales and POS</x:v>
      </x:c>
      <x:c r="C20" s="20" t="str">
        <x:v>1.2 Sales register, invoice detail and receipt</x:v>
      </x:c>
      <x:c r="D20" s="20" t="str">
        <x:v>Map filters, pagination, invoice identifiers and line detail to existing sales2 / salsntry columns.</x:v>
      </x:c>
      <x:c r="E20" s="20" t="str">
        <x:v>the register shows only SQL rows with truthful totals and paging; detail/receipt match the persisted bill; unsupported mutations are visibly unavailable.</x:v>
      </x:c>
      <x:c r="F20" s="20" t="str">
        <x:v>0.1 schema verification; 0.2 page/API inventory</x:v>
      </x:c>
      <x:c r="G20" s="20" t="str">
        <x:v>In Progress</x:v>
      </x:c>
      <x:c r="H20" s="20" t="str"/>
      <x:c r="I20" s="28"/>
      <x:c r="J20" s="28"/>
      <x:c r="K20" s="20" t="str">
        <x:v>Added SQL paging/count with search and payment status filters; invoice IDs map through sysidandbill and line details through systemidbill. Customer filter maps sales2.cus_card to the SQL customer card-number ID, but the historical cus_card relationship has not been validated against bill rows.</x:v>
      </x:c>
    </x:row>
    <x:row r="21">
      <x:c r="A21" s="20" t="str">
        <x:v>SQL-020</x:v>
      </x:c>
      <x:c r="B21" s="20" t="str">
        <x:v>1. Sales and POS</x:v>
      </x:c>
      <x:c r="C21" s="20" t="str">
        <x:v>1.2 Sales register, invoice detail and receipt</x:v>
      </x:c>
      <x:c r="D21" s="20" t="str">
        <x:v>Ensure receipt/reprint reads use the SQL bill key and do not fetch Mongo Invoice, Customer or Branch documents.</x:v>
      </x:c>
      <x:c r="E21" s="20" t="str">
        <x:v>the register shows only SQL rows with truthful totals and paging; detail/receipt match the persisted bill; unsupported mutations are visibly unavailable.</x:v>
      </x:c>
      <x:c r="F21" s="20" t="str">
        <x:v>0.1 schema verification; 0.2 page/API inventory</x:v>
      </x:c>
      <x:c r="G21" s="20" t="str">
        <x:v>Done</x:v>
      </x:c>
      <x:c r="H21" s="20" t="str"/>
      <x:c r="I21" s="28"/>
      <x:c r="J21" s="28" t="n">
        <x:v>46297</x:v>
      </x:c>
      <x:c r="K21" s="20" t="str">
        <x:v>Sales invoice detail now requests receipt context with the persisted invoice SQL _id (sql:&lt;sysidandbill&gt;) rather than the printed invoice number. Receipt service resolves the invoice through the SQL endpoint and loads profile/branch through SQL-only routes; no Mongo Invoice/Customer/Branch fetch is used.</x:v>
      </x:c>
    </x:row>
    <x:row r="22">
      <x:c r="A22" s="20" t="str">
        <x:v>SQL-021</x:v>
      </x:c>
      <x:c r="B22" s="20" t="str">
        <x:v>1. Sales and POS</x:v>
      </x:c>
      <x:c r="C22" s="20" t="str">
        <x:v>1.2 Sales register, invoice detail and receipt</x:v>
      </x:c>
      <x:c r="D22" s="20" t="str">
        <x:v>Keep edit, delete and mark-paid disabled until existing SQL semantics support a safe transactional update and reversal.</x:v>
      </x:c>
      <x:c r="E22" s="20" t="str">
        <x:v>the register shows only SQL rows with truthful totals and paging; detail/receipt match the persisted bill; unsupported mutations are visibly unavailable.</x:v>
      </x:c>
      <x:c r="F22" s="20" t="str">
        <x:v>0.1 schema verification; 0.2 page/API inventory</x:v>
      </x:c>
      <x:c r="G22" s="20" t="str">
        <x:v>Done</x:v>
      </x:c>
      <x:c r="H22" s="20" t="str"/>
      <x:c r="I22" s="28"/>
      <x:c r="J22" s="28" t="n">
        <x:v>46297</x:v>
      </x:c>
      <x:c r="K22" s="20" t="str">
        <x:v>SQL invoices are read-only: register delete is disabled for sql: IDs, detail hides payment allocation and edit actions with an explanation, and mounted SQL sales routes expose GET only. SQL-only route allowlist blocks legacy PUT/DELETE operations.</x:v>
      </x:c>
    </x:row>
    <x:row r="23">
      <x:c r="A23" s="20" t="str">
        <x:v>SQL-022</x:v>
      </x:c>
      <x:c r="B23" s="20" t="str">
        <x:v>1. Sales and POS</x:v>
      </x:c>
      <x:c r="C23" s="20" t="str">
        <x:v>1.3 Invoice entry form</x:v>
      </x:c>
      <x:c r="D23" s="20" t="str">
        <x:v>Decide whether /sales/new can use the supported POS SQL contract without changing required business behavior.</x:v>
      </x:c>
      <x:c r="E23" s="20" t="str">
        <x:v>no UI path can create an invoice only in Redux/local state or Mongo while presenting it as an SQL-saved bill.</x:v>
      </x:c>
      <x:c r="F23" s="20" t="str">
        <x:v>0.1 schema verification; 0.2 page/API inventory</x:v>
      </x:c>
      <x:c r="G23" s="20" t="str">
        <x:v>Done</x:v>
      </x:c>
      <x:c r="H23" s="20" t="str"/>
      <x:c r="I23" s="28"/>
      <x:c r="J23" s="28" t="n">
        <x:v>46297</x:v>
      </x:c>
      <x:c r="K23" s="20" t="str">
        <x:v>Confirmed the general /sales/new form cannot preserve its customer credit, due date, free-form line item and shipping behavior via the existing POS SQL contract. Replaced the form route with an explicit unavailable state linking to POS; removed its lazy registry entry/component. SQL-only middleware permits only GET for sales-invoice and blocks legacy invoice POST.</x:v>
      </x:c>
    </x:row>
    <x:row r="24">
      <x:c r="A24" s="20" t="str">
        <x:v>SQL-023</x:v>
      </x:c>
      <x:c r="B24" s="20" t="str">
        <x:v>1. Sales and POS</x:v>
      </x:c>
      <x:c r="C24" s="20" t="str">
        <x:v>1.3 Invoice entry form</x:v>
      </x:c>
      <x:c r="D24" s="20" t="str">
        <x:v>If compatible, reuse the SQL POS flow and remove the parallel Mongo invoice writer; otherwise narrow the form or mark unsupported.</x:v>
      </x:c>
      <x:c r="E24" s="20" t="str">
        <x:v>no UI path can create an invoice only in Redux/local state or Mongo while presenting it as an SQL-saved bill.</x:v>
      </x:c>
      <x:c r="F24" s="20" t="str">
        <x:v>0.1 schema verification; 0.2 page/API inventory</x:v>
      </x:c>
      <x:c r="G24" s="20" t="str">
        <x:v>Done</x:v>
      </x:c>
      <x:c r="H24" s="20" t="str"/>
      <x:c r="I24" s="28"/>
      <x:c r="J24" s="28" t="n">
        <x:v>46297</x:v>
      </x:c>
      <x:c r="K24" s="20" t="str">
        <x:v>General Mongo invoice form is removed from active route/module registry. SQL-only app uses the supported POS invoice preview/write contract for counter bills; sales-invoice POST route is not mounted or allowed. Free-form customer-credit invoices are explicitly unavailable.</x:v>
      </x:c>
    </x:row>
    <x:row r="25">
      <x:c r="A25" s="20" t="str">
        <x:v>SQL-024</x:v>
      </x:c>
      <x:c r="B25" s="20" t="str">
        <x:v>1. Sales and POS</x:v>
      </x:c>
      <x:c r="C25" s="20" t="str">
        <x:v>1.3 Invoice entry form</x:v>
      </x:c>
      <x:c r="D25" s="20" t="str">
        <x:v>Verify customer, invoice numbering, payment, GST, discount, stock and tax behavior against existing fields before enabling each input.</x:v>
      </x:c>
      <x:c r="E25" s="20" t="str">
        <x:v>no UI path can create an invoice only in Redux/local state or Mongo while presenting it as an SQL-saved bill.</x:v>
      </x:c>
      <x:c r="F25" s="20" t="str">
        <x:v>0.1 schema verification; 0.2 page/API inventory</x:v>
      </x:c>
      <x:c r="G25" s="20" t="str">
        <x:v>Done</x:v>
      </x:c>
      <x:c r="H25" s="20" t="str"/>
      <x:c r="I25" s="28"/>
      <x:c r="J25" s="28" t="n">
        <x:v>46297</x:v>
      </x:c>
      <x:c r="K25" s="20" t="str">
        <x:v>The existing SQL field map supports the inputs enabled in POS: sales2 invoice numbering/total/tender/GST/discount/counter fields, salsntry barcode/quantity/amount/tax/discount lines, and purchase/sale/return rows for stock calculation. Customer credit, loyalty, free-form items and allocation remain disabled. Field presence from snapshot; bill-value reconciliation remains SQL-017.</x:v>
      </x:c>
    </x:row>
    <x:row r="26">
      <x:c r="A26" s="20" t="str">
        <x:v>SQL-025</x:v>
      </x:c>
      <x:c r="B26" s="20" t="str">
        <x:v>1. Sales and POS</x:v>
      </x:c>
      <x:c r="C26" s="20" t="str">
        <x:v>1.4 Returns and returned-items screen</x:v>
      </x:c>
      <x:c r="D26" s="20" t="str">
        <x:v>Rewire returned-item lookup from /api/pos/invoices and /api/returns to SQL /api/pos/return-sources and POS Return mode.</x:v>
      </x:c>
      <x:c r="E26" s="20" t="str">
        <x:v>return/exchange cannot exceed sold quantity, original paid value is used, inventory and sales reporting agree, and no Mongo Return/Invoice/Item model is accessed.</x:v>
      </x:c>
      <x:c r="F26" s="20" t="str">
        <x:v>0.1 schema verification; 0.2 page/API inventory</x:v>
      </x:c>
      <x:c r="G26" s="20" t="str">
        <x:v>Blocked</x:v>
      </x:c>
      <x:c r="H26" s="20" t="str"/>
      <x:c r="I26" s="28"/>
      <x:c r="J26" s="28"/>
      <x:c r="K26" s="20" t="str">
        <x:v>Legacy return entry/history screens no longer call /api/returns or /api/pos/invoices; active screen states SQL limitation. POS ReturnBillPicker already calls /api/pos/return-sources, but source lookup and checkout fail closed because required erp.sales_return_allocation is absent. B-02; do not add a table.</x:v>
      </x:c>
    </x:row>
    <x:row r="27">
      <x:c r="A27" s="20" t="str">
        <x:v>SQL-026</x:v>
      </x:c>
      <x:c r="B27" s="20" t="str">
        <x:v>1. Sales and POS</x:v>
      </x:c>
      <x:c r="C27" s="20" t="str">
        <x:v>1.4 Returns and returned-items screen</x:v>
      </x:c>
      <x:c r="D27" s="20" t="str">
        <x:v>Link each returned unit to its original SQL sale line and refund the paid unit value, including applied discounts and GST.</x:v>
      </x:c>
      <x:c r="E27" s="20" t="str">
        <x:v>return/exchange cannot exceed sold quantity, original paid value is used, inventory and sales reporting agree, and no Mongo Return/Invoice/Item model is accessed.</x:v>
      </x:c>
      <x:c r="F27" s="20" t="str">
        <x:v>0.1 schema verification; 0.2 page/API inventory</x:v>
      </x:c>
      <x:c r="G27" s="20" t="str">
        <x:v>Blocked</x:v>
      </x:c>
      <x:c r="H27" s="20" t="str"/>
      <x:c r="I27" s="28"/>
      <x:c r="J27" s="28"/>
      <x:c r="K27" s="20" t="str">
        <x:v>sqlPosWriter has source-line lookup, limits, original paidEach and GST logic, but it requires returnAllocations to enforce per-source quantities and persist linkage. The verified schema has no erp.sales_return_allocation, so no return is allowed. Existing table requirement unresolved; no DDL.</x:v>
      </x:c>
    </x:row>
    <x:row r="28">
      <x:c r="A28" s="20" t="str">
        <x:v>SQL-027</x:v>
      </x:c>
      <x:c r="B28" s="20" t="str">
        <x:v>1. Sales and POS</x:v>
      </x:c>
      <x:c r="C28" s="20" t="str">
        <x:v>1.4 Returns and returned-items screen</x:v>
      </x:c>
      <x:c r="D28" s="20" t="str">
        <x:v>Verify the existing return-allocation table is available before enabling source-line allocation; do not create it.</x:v>
      </x:c>
      <x:c r="E28" s="20" t="str">
        <x:v>return/exchange cannot exceed sold quantity, original paid value is used, inventory and sales reporting agree, and no Mongo Return/Invoice/Item model is accessed.</x:v>
      </x:c>
      <x:c r="F28" s="20" t="str">
        <x:v>0.1 schema verification; 0.2 page/API inventory</x:v>
      </x:c>
      <x:c r="G28" s="20" t="str">
        <x:v>Blocked</x:v>
      </x:c>
      <x:c r="H28" s="20" t="str"/>
      <x:c r="I28" s="28"/>
      <x:c r="J28" s="28"/>
      <x:c r="K28" s="20" t="str">
        <x:v>Read-only 2026-10-02 schema snapshot for SSS_copy has no erp.sales_return_allocation table. sqlPosWriter verifies required columns and refuses source-line allocation when unavailable. No migration or table creation was run; blocked under B-02.</x:v>
      </x:c>
    </x:row>
    <x:row r="29">
      <x:c r="A29" s="20" t="str">
        <x:v>SQL-028</x:v>
      </x:c>
      <x:c r="B29" s="20" t="str">
        <x:v>1. Sales and POS</x:v>
      </x:c>
      <x:c r="C29" s="20" t="str">
        <x:v>1.4 Returns and returned-items screen</x:v>
      </x:c>
      <x:c r="D29" s="20" t="str">
        <x:v>Keep standalone return create/delete routes disabled unless existing Textilesoft return tables are demonstrated to be the active return source and stock/report effects reconcile.</x:v>
      </x:c>
      <x:c r="E29" s="20" t="str">
        <x:v>return/exchange cannot exceed sold quantity, original paid value is used, inventory and sales reporting agree, and no Mongo Return/Invoice/Item model is accessed.</x:v>
      </x:c>
      <x:c r="F29" s="20" t="str">
        <x:v>0.1 schema verification; 0.2 page/API inventory</x:v>
      </x:c>
      <x:c r="G29" s="20" t="str">
        <x:v>Done</x:v>
      </x:c>
      <x:c r="H29" s="20" t="str"/>
      <x:c r="I29" s="28"/>
      <x:c r="J29" s="28" t="n">
        <x:v>46297</x:v>
      </x:c>
      <x:c r="K29" s="20" t="str">
        <x:v>Standalone Mongo-backed return screens removed from active routes; SQL return writes fail closed because erp.sales_return_allocation is absent.</x:v>
      </x:c>
    </x:row>
    <x:row r="30">
      <x:c r="A30" s="20" t="str">
        <x:v>SQL-029</x:v>
      </x:c>
      <x:c r="B30" s="20" t="str">
        <x:v>1. Sales and POS</x:v>
      </x:c>
      <x:c r="C30" s="20" t="str">
        <x:v>1.5 Estimates, Sales Orders and Delivery Challans</x:v>
      </x:c>
      <x:c r="D30" s="20" t="str">
        <x:v>Inspect existing SSS schema for semantically compatible estimate, order, challan, line, state, conversion and reversal storage.</x:v>
      </x:c>
      <x:c r="E30" s="20" t="str">
        <x:v>each workflow is either verified end-to-end on existing SQL data or visibly unavailable; no fake-success save.</x:v>
      </x:c>
      <x:c r="F30" s="20" t="str">
        <x:v>0.1 schema verification; 0.2 page/API inventory</x:v>
      </x:c>
      <x:c r="G30" s="20" t="str">
        <x:v>Done</x:v>
      </x:c>
      <x:c r="H30" s="20" t="str"/>
      <x:c r="I30" s="28"/>
      <x:c r="J30" s="28" t="n">
        <x:v>46297</x:v>
      </x:c>
      <x:c r="K30" s="20" t="str">
        <x:v>SSS_copy schema inventory: estimate, sales_order and delivery_challan columns/FKs recorded in SQL_POS_PATH_AUDIT_2026-10-02.md.</x:v>
      </x:c>
    </x:row>
    <x:row r="31">
      <x:c r="A31" s="20" t="str">
        <x:v>SQL-030</x:v>
      </x:c>
      <x:c r="B31" s="20" t="str">
        <x:v>1. Sales and POS</x:v>
      </x:c>
      <x:c r="C31" s="20" t="str">
        <x:v>1.5 Estimates, Sales Orders and Delivery Challans</x:v>
      </x:c>
      <x:c r="D31" s="20" t="str">
        <x:v>Verify key relationships and partial-fulfillment lifecycle; do not use invoice or GRN tables as substitutes.</x:v>
      </x:c>
      <x:c r="E31" s="20" t="str">
        <x:v>each workflow is either verified end-to-end on existing SQL data or visibly unavailable; no fake-success save.</x:v>
      </x:c>
      <x:c r="F31" s="20" t="str">
        <x:v>0.1 schema verification; 0.2 page/API inventory</x:v>
      </x:c>
      <x:c r="G31" s="20" t="str">
        <x:v>Blocked</x:v>
      </x:c>
      <x:c r="H31" s="20" t="str"/>
      <x:c r="I31" s="28"/>
      <x:c r="J31" s="28"/>
      <x:c r="K31" s="20" t="str">
        <x:v>All three ERP document tables are empty; JSON item/document links and only challan-to-order FK leave identity, partial fulfillment, conversion and reversal lifecycle unverified.</x:v>
      </x:c>
    </x:row>
    <x:row r="32">
      <x:c r="A32" s="20" t="str">
        <x:v>SQL-031</x:v>
      </x:c>
      <x:c r="B32" s="20" t="str">
        <x:v>1. Sales and POS</x:v>
      </x:c>
      <x:c r="C32" s="20" t="str">
        <x:v>1.5 Estimates, Sales Orders and Delivery Challans</x:v>
      </x:c>
      <x:c r="D32" s="20" t="str">
        <x:v>For each workflow, implement a SQL adapter only if all required records fit existing fields; otherwise retain the page with an explicit unavailable state and disable writes.</x:v>
      </x:c>
      <x:c r="E32" s="20" t="str">
        <x:v>each workflow is either verified end-to-end on existing SQL data or visibly unavailable; no fake-success save.</x:v>
      </x:c>
      <x:c r="F32" s="20" t="str">
        <x:v>0.1 schema verification; 0.2 page/API inventory</x:v>
      </x:c>
      <x:c r="G32" s="20" t="str">
        <x:v>Done</x:v>
      </x:c>
      <x:c r="H32" s="20" t="str"/>
      <x:c r="I32" s="28"/>
      <x:c r="J32" s="28" t="n">
        <x:v>46297</x:v>
      </x:c>
      <x:c r="K32" s="20" t="str">
        <x:v>Former document screens now show explicit unavailable state; no SQL adapter/write enabled without verified record and lifecycle compatibility.</x:v>
      </x:c>
    </x:row>
    <x:row r="33">
      <x:c r="A33" s="20" t="str">
        <x:v>SQL-032</x:v>
      </x:c>
      <x:c r="B33" s="20" t="str">
        <x:v>1. Sales and POS</x:v>
      </x:c>
      <x:c r="C33" s="20" t="str">
        <x:v>1.5 Estimates, Sales Orders and Delivery Challans</x:v>
      </x:c>
      <x:c r="D33" s="20" t="str">
        <x:v>Remove Mongo models/controllers only after routes are removed or replaced and all callers are accounted for.</x:v>
      </x:c>
      <x:c r="E33" s="20" t="str">
        <x:v>each workflow is either verified end-to-end on existing SQL data or visibly unavailable; no fake-success save.</x:v>
      </x:c>
      <x:c r="F33" s="20" t="str">
        <x:v>0.1 schema verification; 0.2 page/API inventory</x:v>
      </x:c>
      <x:c r="G33" s="20" t="str">
        <x:v>Done</x:v>
      </x:c>
      <x:c r="H33" s="20" t="str"/>
      <x:c r="I33" s="28"/>
      <x:c r="J33" s="28" t="n">
        <x:v>46297</x:v>
      </x:c>
      <x:c r="K33" s="20" t="str">
        <x:v>Removed unmounted Mongo-mixed estimate/order/challan controllers, routes, adapters and UI after static reference searches found no remaining code callers.</x:v>
      </x:c>
    </x:row>
    <x:row r="34">
      <x:c r="A34" s="20" t="str">
        <x:v>SQL-033</x:v>
      </x:c>
      <x:c r="B34" s="20" t="str">
        <x:v>1. Sales and POS</x:v>
      </x:c>
      <x:c r="C34" s="20" t="str">
        <x:v>1.6 Receipts, credits, dues and MRP-pending invoices</x:v>
      </x:c>
      <x:c r="D34" s="20" t="str">
        <x:v>Prove an existing stable SQL customer key before enabling any customer-linked receipt, credit or dues operation.</x:v>
      </x:c>
      <x:c r="E34" s="20" t="str">
        <x:v>balances derive from persisted SQL transactions and reconcile; unsupported operations cannot mutate UI-only state or claim success.</x:v>
      </x:c>
      <x:c r="F34" s="20" t="str">
        <x:v>0.1 schema verification; 0.2 page/API inventory</x:v>
      </x:c>
      <x:c r="G34" s="20" t="str">
        <x:v>Blocked</x:v>
      </x:c>
      <x:c r="H34" s="20" t="str"/>
      <x:c r="I34" s="28"/>
      <x:c r="J34" s="28"/>
      <x:c r="K34" s="20" t="str">
        <x:v>dbo.customercmyname has no declared primary/unique key in the captured metadata; sales2.cus_card matching card_number with sl_nu fallback has no declared FK. No live relationship reconciliation was performed.</x:v>
      </x:c>
    </x:row>
    <x:row r="35">
      <x:c r="A35" s="20" t="str">
        <x:v>SQL-034</x:v>
      </x:c>
      <x:c r="B35" s="20" t="str">
        <x:v>1. Sales and POS</x:v>
      </x:c>
      <x:c r="C35" s="20" t="str">
        <x:v>1.6 Receipts, credits, dues and MRP-pending invoices</x:v>
      </x:c>
      <x:c r="D35" s="20" t="str">
        <x:v>Verify existing receipt allocation and cash/bank ledgers can represent payment, partial allocation, balance change and reversal.</x:v>
      </x:c>
      <x:c r="E35" s="20" t="str">
        <x:v>balances derive from persisted SQL transactions and reconcile; unsupported operations cannot mutate UI-only state or claim success.</x:v>
      </x:c>
      <x:c r="F35" s="20" t="str">
        <x:v>0.1 schema verification; 0.2 page/API inventory</x:v>
      </x:c>
      <x:c r="G35" s="20" t="str">
        <x:v>Blocked</x:v>
      </x:c>
      <x:c r="H35" s="20" t="str"/>
      <x:c r="I35" s="28"/>
      <x:c r="J35" s="28"/>
      <x:c r="K35" s="20" t="str">
        <x:v>erp.payment_in is empty, stores methods/allocations as JSON and has no FKs; prior workflow depends on Mongo Customer, Invoice, CashbankTransaction and BankAccount.</x:v>
      </x:c>
    </x:row>
    <x:row r="36">
      <x:c r="A36" s="20" t="str">
        <x:v>SQL-035</x:v>
      </x:c>
      <x:c r="B36" s="20" t="str">
        <x:v>1. Sales and POS</x:v>
      </x:c>
      <x:c r="C36" s="20" t="str">
        <x:v>1.6 Receipts, credits, dues and MRP-pending invoices</x:v>
      </x:c>
      <x:c r="D36" s="20" t="str">
        <x:v>Verify existing bill fields encode MRP-pending/final states before exposing the MRP-pending page.</x:v>
      </x:c>
      <x:c r="E36" s="20" t="str">
        <x:v>balances derive from persisted SQL transactions and reconcile; unsupported operations cannot mutate UI-only state or claim success.</x:v>
      </x:c>
      <x:c r="F36" s="20" t="str">
        <x:v>0.1 schema verification; 0.2 page/API inventory</x:v>
      </x:c>
      <x:c r="G36" s="20" t="str">
        <x:v>Blocked</x:v>
      </x:c>
      <x:c r="H36" s="20" t="str"/>
      <x:c r="I36" s="28"/>
      <x:c r="J36" s="28"/>
      <x:c r="K36" s="20" t="str">
        <x:v>sales2 has status columns and InvoiceMRPMainTemp/SubTemp exist but are empty with no keys; no verified link to persisted bills or pending/final transition exists.</x:v>
      </x:c>
    </x:row>
    <x:row r="37">
      <x:c r="A37" s="20" t="str">
        <x:v>SQL-036</x:v>
      </x:c>
      <x:c r="B37" s="20" t="str">
        <x:v>1. Sales and POS</x:v>
      </x:c>
      <x:c r="C37" s="20" t="str">
        <x:v>1.6 Receipts, credits, dues and MRP-pending invoices</x:v>
      </x:c>
      <x:c r="D37" s="20" t="str">
        <x:v>If keys or fields are absent/ambiguous, keep customer credit, receipt allocation, dues mutation and MRP finalization unavailable; do not crosswalk IDs in an unrelated table.</x:v>
      </x:c>
      <x:c r="E37" s="20" t="str">
        <x:v>balances derive from persisted SQL transactions and reconcile; unsupported operations cannot mutate UI-only state or claim success.</x:v>
      </x:c>
      <x:c r="F37" s="20" t="str">
        <x:v>0.1 schema verification; 0.2 page/API inventory</x:v>
      </x:c>
      <x:c r="G37" s="20" t="str">
        <x:v>Done</x:v>
      </x:c>
      <x:c r="H37" s="20" t="str"/>
      <x:c r="I37" s="28"/>
      <x:c r="J37" s="28" t="n">
        <x:v>46297</x:v>
      </x:c>
      <x:c r="K37" s="20" t="str">
        <x:v>Payment, customer credit, dues and MRP-pending menu/direct routes now render unavailable; payment-in Mongo-mixed controller, route and adapter removed.</x:v>
      </x:c>
    </x:row>
    <x:row r="38">
      <x:c r="A38" s="20" t="str">
        <x:v>SQL-037</x:v>
      </x:c>
      <x:c r="B38" s="20" t="str">
        <x:v>1. Sales and POS</x:v>
      </x:c>
      <x:c r="C38" s="20" t="str">
        <x:v>1.7 Sales reports and wholesale screens</x:v>
      </x:c>
      <x:c r="D38" s="20" t="str">
        <x:v>Compare each sales report's SQL source tables, date semantics, cancellation filters, return treatment and totals.</x:v>
      </x:c>
      <x:c r="E38" s="20" t="str">
        <x:v>reports disclose their SQL scope and reconcile to source bills; no Mongo aggregates are mixed into SQL results.</x:v>
      </x:c>
      <x:c r="F38" s="20" t="str">
        <x:v>0.1 schema verification; 0.2 page/API inventory</x:v>
      </x:c>
      <x:c r="G38" s="20" t="str">
        <x:v>Blocked</x:v>
      </x:c>
      <x:c r="H38" s="20" t="str"/>
      <x:c r="I38" s="28"/>
      <x:c r="J38" s="28" t="str"/>
      <x:c r="K38" s="20" t="str">
        <x:v>Static report source and formula review is documented, but no representative bill/report totals or return treatment were reconciled against live SQL data.</x:v>
      </x:c>
    </x:row>
    <x:row r="39">
      <x:c r="A39" s="20" t="str">
        <x:v>SQL-038</x:v>
      </x:c>
      <x:c r="B39" s="20" t="str">
        <x:v>1. Sales and POS</x:v>
      </x:c>
      <x:c r="C39" s="20" t="str">
        <x:v>1.7 Sales reports and wholesale screens</x:v>
      </x:c>
      <x:c r="D39" s="20" t="str">
        <x:v>Rewire wholesale bill and report pages from Mongo /api/sales-invoice/wholesale/* to SQL only if existing rows preserve wholesale/counter/channel identifiers.</x:v>
      </x:c>
      <x:c r="E39" s="20" t="str">
        <x:v>reports disclose their SQL scope and reconcile to source bills; no Mongo aggregates are mixed into SQL results.</x:v>
      </x:c>
      <x:c r="F39" s="20" t="str">
        <x:v>0.1 schema verification; 0.2 page/API inventory</x:v>
      </x:c>
      <x:c r="G39" s="20" t="str">
        <x:v>Done</x:v>
      </x:c>
      <x:c r="H39" s="20" t="str"/>
      <x:c r="I39" s="28"/>
      <x:c r="J39" s="28" t="n">
        <x:v>46297</x:v>
      </x:c>
      <x:c r="K39" s="20" t="str">
        <x:v>Wholesale invoices/reports are not SQL-channel-safe: POS writer does not persist WholeSaleStatus, and the SQL-only app does not mount the old Mongo endpoints. Wholesale sales pages now show unavailable.</x:v>
      </x:c>
    </x:row>
    <x:row r="40">
      <x:c r="A40" s="20" t="str">
        <x:v>SQL-039</x:v>
      </x:c>
      <x:c r="B40" s="20" t="str">
        <x:v>1. Sales and POS</x:v>
      </x:c>
      <x:c r="C40" s="20" t="str">
        <x:v>1.7 Sales reports and wholesale screens</x:v>
      </x:c>
      <x:c r="D40" s="20" t="str">
        <x:v>Verify Wholesale Sales Entry's posted SQL payload persists the correct counter/channel and wholesale price/discount behavior.</x:v>
      </x:c>
      <x:c r="E40" s="20" t="str">
        <x:v>reports disclose their SQL scope and reconcile to source bills; no Mongo aggregates are mixed into SQL results.</x:v>
      </x:c>
      <x:c r="F40" s="20" t="str">
        <x:v>0.1 schema verification; 0.2 page/API inventory</x:v>
      </x:c>
      <x:c r="G40" s="20" t="str">
        <x:v>Done</x:v>
      </x:c>
      <x:c r="H40" s="20" t="str"/>
      <x:c r="I40" s="28"/>
      <x:c r="J40" s="28" t="n">
        <x:v>46297</x:v>
      </x:c>
      <x:c r="K40" s="20" t="str">
        <x:v>Verified WR form sends saleChannel but SQL writer ignores it; SQL invoice mapping returns RETAIL and does not apply newproduct.WR_Rate. Entry/counter flow disabled.</x:v>
      </x:c>
    </x:row>
    <x:row r="41">
      <x:c r="A41" s="20" t="str">
        <x:v>SQL-040</x:v>
      </x:c>
      <x:c r="B41" s="20" t="str">
        <x:v>1. Sales and POS</x:v>
      </x:c>
      <x:c r="C41" s="20" t="str">
        <x:v>1.7 Sales reports and wholesale screens</x:v>
      </x:c>
      <x:c r="D41" s="20" t="str">
        <x:v>Keep a narrower or unavailable wholesale report where SQL cannot distinguish wholesale records reliably.</x:v>
      </x:c>
      <x:c r="E41" s="20" t="str">
        <x:v>reports disclose their SQL scope and reconcile to source bills; no Mongo aggregates are mixed into SQL results.</x:v>
      </x:c>
      <x:c r="F41" s="20" t="str">
        <x:v>0.1 schema verification; 0.2 page/API inventory</x:v>
      </x:c>
      <x:c r="G41" s="20" t="str">
        <x:v>Done</x:v>
      </x:c>
      <x:c r="H41" s="20" t="str"/>
      <x:c r="I41" s="28"/>
      <x:c r="J41" s="28" t="n">
        <x:v>46297</x:v>
      </x:c>
      <x:c r="K41" s="20" t="str">
        <x:v>Wholesale sales and stock report screens now explicitly unavailable because existing SQL rows cannot be reliably filtered to that channel.</x:v>
      </x:c>
    </x:row>
    <x:row r="42">
      <x:c r="A42" s="20" t="str">
        <x:v>SQL-041</x:v>
      </x:c>
      <x:c r="B42" s="20" t="str">
        <x:v>2. Product and Inventory</x:v>
      </x:c>
      <x:c r="C42" s="20" t="str">
        <x:v>2. Product and Inventory</x:v>
      </x:c>
      <x:c r="D42" s="20" t="str">
        <x:v>Inventory every screen: Items, Variant Search, Categories, Product Master, Aged Stock, Batches, Barcodes, Combo Offers, Serial/IMEI, Damage/Loss, Stock Transfer, Import, Reprint and Export.</x:v>
      </x:c>
      <x:c r="E42" s="20" t="str">
        <x:v>Complete the task and record evidence that the page/API uses only verified existing SQL objects.</x:v>
      </x:c>
      <x:c r="F42" s="20" t="str">
        <x:v>0.1 and 0.2; POS task 1.1 for checkout stock paths</x:v>
      </x:c>
      <x:c r="G42" s="20" t="str">
        <x:v>Done</x:v>
      </x:c>
      <x:c r="H42" s="20" t="str"/>
      <x:c r="I42" s="28"/>
      <x:c r="J42" s="28" t="n">
        <x:v>46297</x:v>
      </x:c>
      <x:c r="K42" s="20" t="str">
        <x:v>Inventory screen/API support matrix recorded in INVENTORY_SQL_SCREEN_AUDIT_2026-10-02.md; unsupported menu/direct pages replaced by explicit unavailable state.</x:v>
      </x:c>
    </x:row>
    <x:row r="43">
      <x:c r="A43" s="20" t="str">
        <x:v>SQL-042</x:v>
      </x:c>
      <x:c r="B43" s="20" t="str">
        <x:v>2. Product and Inventory</x:v>
      </x:c>
      <x:c r="C43" s="20" t="str">
        <x:v>2. Product and Inventory</x:v>
      </x:c>
      <x:c r="D43" s="20" t="str">
        <x:v>Map product/attribute/catalogue reads and writes to existing shop tables; remove Item materialization, Mongo fallback and mirror paths.</x:v>
      </x:c>
      <x:c r="E43" s="20" t="str">
        <x:v>Complete the task and record evidence that the page/API uses only verified existing SQL objects.</x:v>
      </x:c>
      <x:c r="F43" s="20" t="str">
        <x:v>0.1 and 0.2; POS task 1.1 for checkout stock paths</x:v>
      </x:c>
      <x:c r="G43" s="20" t="str">
        <x:v>Done</x:v>
      </x:c>
      <x:c r="H43" s="20" t="str"/>
      <x:c r="I43" s="28"/>
      <x:c r="J43" s="28" t="n">
        <x:v>46297</x:v>
      </x:c>
      <x:c r="K43" s="20" t="str">
        <x:v>Active inventory reads are direct SQL; removed Mongo catalogue fallback reads, unused mirrored-item helper, SQL-to-Mongo sync service/CLI/API and restore-triggered sync.</x:v>
      </x:c>
    </x:row>
    <x:row r="44">
      <x:c r="A44" s="20" t="str">
        <x:v>SQL-043</x:v>
      </x:c>
      <x:c r="B44" s="20" t="str">
        <x:v>2. Product and Inventory</x:v>
      </x:c>
      <x:c r="C44" s="20" t="str">
        <x:v>2. Product and Inventory</x:v>
      </x:c>
      <x:c r="D44" s="20" t="str">
        <x:v>Validate stock quantity, unit, barcode, GST, price and category meanings against actual rows.</x:v>
      </x:c>
      <x:c r="E44" s="20" t="str">
        <x:v>Complete the task and record evidence that the page/API uses only verified existing SQL objects.</x:v>
      </x:c>
      <x:c r="F44" s="20" t="str">
        <x:v>0.1 and 0.2; POS task 1.1 for checkout stock paths</x:v>
      </x:c>
      <x:c r="G44" s="20" t="str">
        <x:v>Done</x:v>
      </x:c>
      <x:c r="H44" s="20" t="str"/>
      <x:c r="I44" s="28"/>
      <x:c r="J44" s="28" t="n">
        <x:v>46297</x:v>
      </x:c>
      <x:c r="K44" s="20" t="str">
        <x:v>Live read-only SSS_copy aggregates: stockdetails has 80,997 distinct nonblank barcodes, positive numeric qty/MRP ranges; mapped lookup categories/units are consistent by duplicate product code. GST anomalies (1/2 and 24 unparsable rows) are documented; no tax correctness inferred.</x:v>
      </x:c>
    </x:row>
    <x:row r="45">
      <x:c r="A45" s="20" t="str">
        <x:v>SQL-044</x:v>
      </x:c>
      <x:c r="B45" s="20" t="str">
        <x:v>2. Product and Inventory</x:v>
      </x:c>
      <x:c r="C45" s="20" t="str">
        <x:v>2. Product and Inventory</x:v>
      </x:c>
      <x:c r="D45" s="20" t="str">
        <x:v>For stock movement, transfer, damage/loss and serialized-unit operations, prove existing SQL event/serial tables and reverse operations before enabling writes.</x:v>
      </x:c>
      <x:c r="E45" s="20" t="str">
        <x:v>Complete the task and record evidence that the page/API uses only verified existing SQL objects.</x:v>
      </x:c>
      <x:c r="F45" s="20" t="str">
        <x:v>0.1 and 0.2; POS task 1.1 for checkout stock paths</x:v>
      </x:c>
      <x:c r="G45" s="20" t="str">
        <x:v>Done</x:v>
      </x:c>
      <x:c r="H45" s="20" t="str"/>
      <x:c r="I45" s="28"/>
      <x:c r="J45" s="28" t="n">
        <x:v>46297</x:v>
      </x:c>
      <x:c r="K45" s="20" t="str">
        <x:v>Schema snapshot and SQL route review: no enabled SQL writes for damage/loss, transfer, serial/IMEI or stock event reversal. Disabled barcode-cancel write pending verified reverse lifecycle; documented existing event tables and counts in INVENTORY_SQL_SCREEN_AUDIT_2026-10-02.md.</x:v>
      </x:c>
    </x:row>
    <x:row r="46">
      <x:c r="A46" s="20" t="str">
        <x:v>SQL-045</x:v>
      </x:c>
      <x:c r="B46" s="20" t="str">
        <x:v>2. Product and Inventory</x:v>
      </x:c>
      <x:c r="C46" s="20" t="str">
        <x:v>2. Product and Inventory</x:v>
      </x:c>
      <x:c r="D46" s="20" t="str">
        <x:v>Verify combo/free-item offers against existing compatible offer tables; never encode offers in unrelated product fields.</x:v>
      </x:c>
      <x:c r="E46" s="20" t="str">
        <x:v>Complete the task and record evidence that the page/API uses only verified existing SQL objects.</x:v>
      </x:c>
      <x:c r="F46" s="20" t="str">
        <x:v>0.1 and 0.2; POS task 1.1 for checkout stock paths</x:v>
      </x:c>
      <x:c r="G46" s="20" t="str">
        <x:v>Done</x:v>
      </x:c>
      <x:c r="H46" s="20" t="str"/>
      <x:c r="I46" s="28"/>
      <x:c r="J46" s="28" t="n">
        <x:v>46297</x:v>
      </x:c>
      <x:c r="K46" s="20" t="str">
        <x:v>Verified BarcodewiseComboOffer and freeproduct snapshot tables are empty and no active SQL-only offer lifecycle route exists. Combo/free-item screens remain unavailable; documented in INVENTORY_SQL_SCREEN_AUDIT_2026-10-02.md.</x:v>
      </x:c>
    </x:row>
    <x:row r="47">
      <x:c r="A47" s="20" t="str">
        <x:v>SQL-046</x:v>
      </x:c>
      <x:c r="B47" s="20" t="str">
        <x:v>2. Product and Inventory</x:v>
      </x:c>
      <x:c r="C47" s="20" t="str">
        <x:v>2. Product and Inventory</x:v>
      </x:c>
      <x:c r="D47" s="20" t="str">
        <x:v>Disable unsupported mutations with explicit API/UI status while preserving screens for later review.</x:v>
      </x:c>
      <x:c r="E47" s="20" t="str">
        <x:v>Complete the task and record evidence that the page/API uses only verified existing SQL objects.</x:v>
      </x:c>
      <x:c r="F47" s="20" t="str">
        <x:v>0.1 and 0.2; POS task 1.1 for checkout stock paths</x:v>
      </x:c>
      <x:c r="G47" s="20" t="str">
        <x:v>Done</x:v>
      </x:c>
      <x:c r="H47" s="20" t="str"/>
      <x:c r="I47" s="28"/>
      <x:c r="J47" s="28" t="n">
        <x:v>46297</x:v>
      </x:c>
      <x:c r="K47" s="20" t="str">
        <x:v>Items/products/search routes now use read-only SQL item lookup; unsupported inventory pages remain visible as unavailable. SQL inventory API returns SQL_INVENTORY_OPERATION_UNAVAILABLE for unsupported paths/methods, including category GET and barcode cancellation. Backend build passed.</x:v>
      </x:c>
    </x:row>
    <x:row r="48">
      <x:c r="A48" s="20" t="str">
        <x:v>SQL-047</x:v>
      </x:c>
      <x:c r="B48" s="20" t="str">
        <x:v>3. Purchase and supplier workflows</x:v>
      </x:c>
      <x:c r="C48" s="20" t="str">
        <x:v>3. Purchase and supplier workflows</x:v>
      </x:c>
      <x:c r="D48" s="20" t="str">
        <x:v>Inventory Register, New Entry, Express Purchase, Orders, Order List/Form, GRN, GRN Transfers, Bills, History, Returns, Debit Notes, Payments, Payment Out, Payables, Upload, Rates, PDC Vault and Cashflow.</x:v>
      </x:c>
      <x:c r="E48" s="20" t="str">
        <x:v>Complete the task and record evidence that the page/API uses only verified existing SQL objects.</x:v>
      </x:c>
      <x:c r="F48" s="20" t="str">
        <x:v>0.1 and 0.2; verify supplier identity for linked flows</x:v>
      </x:c>
      <x:c r="G48" s="20" t="str">
        <x:v>Done</x:v>
      </x:c>
      <x:c r="H48" s="20" t="str"/>
      <x:c r="I48" s="28"/>
      <x:c r="J48" s="28" t="n">
        <x:v>46297</x:v>
      </x:c>
      <x:c r="K48" s="20" t="str">
        <x:v>Inventoried all listed purchase screens, paths, modules, and mounted SQL APIs in docs/PURCHASE_SQL_SCREEN_INVENTORY_2026-10-02.md; not yet a behavior validation (covered by SQL-048 onward).</x:v>
      </x:c>
    </x:row>
    <x:row r="49">
      <x:c r="A49" s="20" t="str">
        <x:v>SQL-048</x:v>
      </x:c>
      <x:c r="B49" s="20" t="str">
        <x:v>3. Purchase and supplier workflows</x:v>
      </x:c>
      <x:c r="C49" s="20" t="str">
        <x:v>3. Purchase and supplier workflows</x:v>
      </x:c>
      <x:c r="D49" s="20" t="str">
        <x:v>Verify SQL purchase-entry and purchase-return routes against current Textilesoft GRN/return tables, including stock and deletion/reversal behavior.</x:v>
      </x:c>
      <x:c r="E49" s="20" t="str">
        <x:v>Complete the task and record evidence that the page/API uses only verified existing SQL objects.</x:v>
      </x:c>
      <x:c r="F49" s="20" t="str">
        <x:v>0.1 and 0.2; verify supplier identity for linked flows</x:v>
      </x:c>
      <x:c r="G49" s="20" t="str">
        <x:v>Done</x:v>
      </x:c>
      <x:c r="H49" s="20" t="str"/>
      <x:c r="I49" s="28"/>
      <x:c r="J49" s="28" t="n">
        <x:v>46297</x:v>
      </x:c>
      <x:c r="K49" s="20" t="str">
        <x:v>Read-only SSS_copy aggregates and source review found 26 active purchase lines without stockdetails rows, 4/8 return lines without purchase-barcode links, and one duplicated return number. GRN and return create/delete are disabled; return detail now rejects duplicate/unlinked source data. See docs/PURCHASE_SQL_SCREEN_INVENTORY_2026-10-02.md.</x:v>
      </x:c>
    </x:row>
    <x:row r="50">
      <x:c r="A50" s="20" t="str">
        <x:v>SQL-049</x:v>
      </x:c>
      <x:c r="B50" s="20" t="str">
        <x:v>3. Purchase and supplier workflows</x:v>
      </x:c>
      <x:c r="C50" s="20" t="str">
        <x:v>3. Purchase and supplier workflows</x:v>
      </x:c>
      <x:c r="D50" s="20" t="str">
        <x:v>Trace purchase order, GRN transfer, bill and supplier-payment IDs through all screens; verify a stable existing supplier key.</x:v>
      </x:c>
      <x:c r="E50" s="20" t="str">
        <x:v>Complete the task and record evidence that the page/API uses only verified existing SQL objects.</x:v>
      </x:c>
      <x:c r="F50" s="20" t="str">
        <x:v>0.1 and 0.2; verify supplier identity for linked flows</x:v>
      </x:c>
      <x:c r="G50" s="20" t="str">
        <x:v>Blocked</x:v>
      </x:c>
      <x:c r="H50" s="20" t="str"/>
      <x:c r="I50" s="28"/>
      <x:c r="J50" s="28"/>
      <x:c r="K50" s="20" t="str">
        <x:v>supplierdetail has 114 rows, no PK/unique index, and four duplicate-name groups; purgrnentry stores supplier_name text. Order/transfer/payment routes are not mounted. Stable supplier key is unproven; blocked under B-01. See docs/PURCHASE_SQL_SCREEN_INVENTORY_2026-10-02.md.</x:v>
      </x:c>
    </x:row>
    <x:row r="51">
      <x:c r="A51" s="20" t="str">
        <x:v>SQL-050</x:v>
      </x:c>
      <x:c r="B51" s="20" t="str">
        <x:v>3. Purchase and supplier workflows</x:v>
      </x:c>
      <x:c r="C51" s="20" t="str">
        <x:v>3. Purchase and supplier workflows</x:v>
      </x:c>
      <x:c r="D51" s="20" t="str">
        <x:v>Inspect existing SQL fields/tables for debit notes, rate revisions, payment-out, cheque states, supplier ageing and reconciliation.</x:v>
      </x:c>
      <x:c r="E51" s="20" t="str">
        <x:v>Complete the task and record evidence that the page/API uses only verified existing SQL objects.</x:v>
      </x:c>
      <x:c r="F51" s="20" t="str">
        <x:v>0.1 and 0.2; verify supplier identity for linked flows</x:v>
      </x:c>
      <x:c r="G51" s="20" t="str">
        <x:v>Done</x:v>
      </x:c>
      <x:c r="H51" s="20" t="str"/>
      <x:c r="I51" s="28"/>
      <x:c r="J51" s="28" t="n">
        <x:v>46297</x:v>
      </x:c>
      <x:c r="K51" s="20" t="str">
        <x:v>Existing erp.debit_note/rate_revision/payment_out/purchase_payment/supplier_reconciliation tables are empty; supplier_group_member is absent, and no cheque/payables/supplier-ageing APIs are mounted. Unsupported purchase modules and API paths now return explicit unavailable states.</x:v>
      </x:c>
    </x:row>
    <x:row r="52">
      <x:c r="A52" s="20" t="str">
        <x:v>SQL-051</x:v>
      </x:c>
      <x:c r="B52" s="20" t="str">
        <x:v>3. Purchase and supplier workflows</x:v>
      </x:c>
      <x:c r="C52" s="20" t="str">
        <x:v>3. Purchase and supplier workflows</x:v>
      </x:c>
      <x:c r="D52" s="20" t="str">
        <x:v>Remove Mongo Supplier/Bill/Purchase lookups from SQL handlers or disable operations with unresolved joins.</x:v>
      </x:c>
      <x:c r="E52" s="20" t="str">
        <x:v>Complete the task and record evidence that the page/API uses only verified existing SQL objects.</x:v>
      </x:c>
      <x:c r="F52" s="20" t="str">
        <x:v>0.1 and 0.2; verify supplier identity for linked flows</x:v>
      </x:c>
      <x:c r="G52" s="20" t="str">
        <x:v>Done</x:v>
      </x:c>
      <x:c r="H52" s="20" t="str"/>
      <x:c r="I52" s="28"/>
      <x:c r="J52" s="28" t="n">
        <x:v>46297</x:v>
      </x:c>
      <x:c r="K52" s="20" t="str">
        <x:v>Active SQL-only app mounts purchase list, purchase-entry reads and purchase-return reads; those SQL handlers use SQL adapters only. Mongo Supplier/Bill/Purchase handlers remain unmounted and are not reachable from these SQL routes.</x:v>
      </x:c>
    </x:row>
    <x:row r="53">
      <x:c r="A53" s="20" t="str">
        <x:v>SQL-052</x:v>
      </x:c>
      <x:c r="B53" s="20" t="str">
        <x:v>3. Purchase and supplier workflows</x:v>
      </x:c>
      <x:c r="C53" s="20" t="str">
        <x:v>3. Purchase and supplier workflows</x:v>
      </x:c>
      <x:c r="D53" s="20" t="str">
        <x:v>Do not treat a stored payment as complete unless the existing SQL bill balance, account balance and reversal semantics are represented.</x:v>
      </x:c>
      <x:c r="E53" s="20" t="str">
        <x:v>Complete the task and record evidence that the page/API uses only verified existing SQL objects.</x:v>
      </x:c>
      <x:c r="F53" s="20" t="str">
        <x:v>0.1 and 0.2; verify supplier identity for linked flows</x:v>
      </x:c>
      <x:c r="G53" s="20" t="str">
        <x:v>Done</x:v>
      </x:c>
      <x:c r="H53" s="20" t="str"/>
      <x:c r="I53" s="28"/>
      <x:c r="J53" s="28" t="n">
        <x:v>46297</x:v>
      </x:c>
      <x:c r="K53" s="20" t="str">
        <x:v>Payment-out/payables/cheque/cashflow pages and APIs are unavailable. Purchase-return rows now display as recorded return value with payment state untracked and supplier balance unreconciled; payment type is no longer treated as proof of settlement.</x:v>
      </x:c>
    </x:row>
    <x:row r="54">
      <x:c r="A54" s="20" t="str">
        <x:v>SQL-053</x:v>
      </x:c>
      <x:c r="B54" s="20" t="str">
        <x:v>4. Customers, suppliers and loyalty</x:v>
      </x:c>
      <x:c r="C54" s="20" t="str">
        <x:v>4. Customers, suppliers and loyalty</x:v>
      </x:c>
      <x:c r="D54" s="20" t="str">
        <x:v>Verify stable, unique, immutable existing customer and supplier identifiers from schema metadata and deployed write-path evidence.</x:v>
      </x:c>
      <x:c r="E54" s="20" t="str">
        <x:v>Complete the task and record evidence that the page/API uses only verified existing SQL objects.</x:v>
      </x:c>
      <x:c r="F54" s="20" t="str">
        <x:v>0.1 and 0.2; Sales task 1.6</x:v>
      </x:c>
      <x:c r="G54" s="20" t="str">
        <x:v>Blocked</x:v>
      </x:c>
      <x:c r="H54" s="20" t="str"/>
      <x:c r="I54" s="28"/>
      <x:c r="J54" s="28"/>
      <x:c r="K54" s="20" t="str">
        <x:v>No verified unique immutable customer or supplier key; customer key fields are nullable and supplier name duplicates exist. Screen actions remain disabled; no schema changes allowed.</x:v>
      </x:c>
    </x:row>
    <x:row r="55">
      <x:c r="A55" s="20" t="str">
        <x:v>SQL-054</x:v>
      </x:c>
      <x:c r="B55" s="20" t="str">
        <x:v>4. Customers, suppliers and loyalty</x:v>
      </x:c>
      <x:c r="C55" s="20" t="str">
        <x:v>4. Customers, suppliers and loyalty</x:v>
      </x:c>
      <x:c r="D55" s="20" t="str">
        <x:v>Map directory fields, search, edit, group membership, ledger, statement, referral/consent and archive behavior one field at a time.</x:v>
      </x:c>
      <x:c r="E55" s="20" t="str">
        <x:v>Complete the task and record evidence that the page/API uses only verified existing SQL objects.</x:v>
      </x:c>
      <x:c r="F55" s="20" t="str">
        <x:v>0.1 and 0.2; Sales task 1.6</x:v>
      </x:c>
      <x:c r="G55" s="20" t="str">
        <x:v>Done</x:v>
      </x:c>
      <x:c r="H55" s="20" t="str"/>
      <x:c r="I55" s="28"/>
      <x:c r="J55" s="28" t="n">
        <x:v>46297</x:v>
      </x:c>
      <x:c r="K55" s="20" t="str">
        <x:v>Documented customer/supplier fields, mounted route behavior, and unsupported group, ledger, statement, referral, consent and archive semantics in docs/CUSTOMER_SUPPLIER_SQL_SCREEN_AUDIT_2026-10-02.md.</x:v>
      </x:c>
    </x:row>
    <x:row r="56">
      <x:c r="A56" s="20" t="str">
        <x:v>SQL-055</x:v>
      </x:c>
      <x:c r="B56" s="20" t="str">
        <x:v>4. Customers, suppliers and loyalty</x:v>
      </x:c>
      <x:c r="C56" s="20" t="str">
        <x:v>4. Customers, suppliers and loyalty</x:v>
      </x:c>
      <x:c r="D56" s="20" t="str">
        <x:v>Trace customer references in invoices, sales returns, receipts, dues, loyalty and reports; remove Mongo ObjectId conversion/validation on SQL paths.</x:v>
      </x:c>
      <x:c r="E56" s="20" t="str">
        <x:v>Complete the task and record evidence that the page/API uses only verified existing SQL objects.</x:v>
      </x:c>
      <x:c r="F56" s="20" t="str">
        <x:v>0.1 and 0.2; Sales task 1.6</x:v>
      </x:c>
      <x:c r="G56" s="20" t="str">
        <x:v>Done</x:v>
      </x:c>
      <x:c r="H56" s="20" t="str"/>
      <x:c r="I56" s="28"/>
      <x:c r="J56" s="28" t="n">
        <x:v>46297</x:v>
      </x:c>
      <x:c r="K56" s="20" t="str">
        <x:v>SQL customer detail now rejects ambiguous keys; POS lookup/create no longer calls Mongo-shaped search/create endpoints or creates local fake IDs. Party screens disabled.</x:v>
      </x:c>
    </x:row>
    <x:row r="57">
      <x:c r="A57" s="20" t="str">
        <x:v>SQL-056</x:v>
      </x:c>
      <x:c r="B57" s="20" t="str">
        <x:v>4. Customers, suppliers and loyalty</x:v>
      </x:c>
      <x:c r="C57" s="20" t="str">
        <x:v>4. Customers, suppliers and loyalty</x:v>
      </x:c>
      <x:c r="D57" s="20" t="str">
        <x:v>Map points transactions to existing customer-point tables only if earn/redeem/reverse history and balances are compatible.</x:v>
      </x:c>
      <x:c r="E57" s="20" t="str">
        <x:v>Complete the task and record evidence that the page/API uses only verified existing SQL objects.</x:v>
      </x:c>
      <x:c r="F57" s="20" t="str">
        <x:v>0.1 and 0.2; Sales task 1.6</x:v>
      </x:c>
      <x:c r="G57" s="20" t="str">
        <x:v>Done</x:v>
      </x:c>
      <x:c r="H57" s="20" t="str"/>
      <x:c r="I57" s="28"/>
      <x:c r="J57" s="28" t="n">
        <x:v>46297</x:v>
      </x:c>
      <x:c r="K57" s="20" t="str">
        <x:v>Mapped existing point tables as configuration without compatible earn/redeem/reversal history; disabled POS points preview and loyalty actions.</x:v>
      </x:c>
    </x:row>
    <x:row r="58">
      <x:c r="A58" s="20" t="str">
        <x:v>SQL-057</x:v>
      </x:c>
      <x:c r="B58" s="20" t="str">
        <x:v>4. Customers, suppliers and loyalty</x:v>
      </x:c>
      <x:c r="C58" s="20" t="str">
        <x:v>4. Customers, suppliers and loyalty</x:v>
      </x:c>
      <x:c r="D58" s="20" t="str">
        <x:v>If stable ID or ledger semantics cannot be proven, disable linked customer mutations; allow only explicitly anonymous SQL billing.</x:v>
      </x:c>
      <x:c r="E58" s="20" t="str">
        <x:v>Complete the task and record evidence that the page/API uses only verified existing SQL objects.</x:v>
      </x:c>
      <x:c r="F58" s="20" t="str">
        <x:v>0.1 and 0.2; Sales task 1.6</x:v>
      </x:c>
      <x:c r="G58" s="20" t="str">
        <x:v>Done</x:v>
      </x:c>
      <x:c r="H58" s="20" t="str"/>
      <x:c r="I58" s="28"/>
      <x:c r="J58" s="28" t="n">
        <x:v>46297</x:v>
      </x:c>
      <x:c r="K58" s="20" t="str">
        <x:v>Disabled customer/supplier mutations and linked screens; POS clearly remains anonymous. Backend build and frontend typecheck pass.</x:v>
      </x:c>
    </x:row>
    <x:row r="59">
      <x:c r="A59" s="20" t="str">
        <x:v>SQL-058</x:v>
      </x:c>
      <x:c r="B59" s="20" t="str">
        <x:v>5. Finance and expenses</x:v>
      </x:c>
      <x:c r="C59" s="20" t="str">
        <x:v>5. Finance and expenses</x:v>
      </x:c>
      <x:c r="D59" s="20" t="str">
        <x:v>Inventory Finance pages: Overview, Cash, Bank, Petty Cash, Transfers, Reconciliation, Summary, Loans, Goals, Statements, SMS Tracker, GST, Journal, EMI Plans and Card Terminals.</x:v>
      </x:c>
      <x:c r="E59" s="20" t="str">
        <x:v>Complete the task and record evidence that the page/API uses only verified existing SQL objects.</x:v>
      </x:c>
      <x:c r="F59" s="20" t="str">
        <x:v>0.1 and 0.2; Sales, Purchase and Customer dependencies</x:v>
      </x:c>
      <x:c r="G59" s="20" t="str">
        <x:v>Done</x:v>
      </x:c>
      <x:c r="H59" s="20" t="str"/>
      <x:c r="I59" s="28"/>
      <x:c r="J59" s="28" t="n">
        <x:v>46297</x:v>
      </x:c>
      <x:c r="K59" s="20" t="str">
        <x:v>Inventoried Finance pages and mounted read-only SQL cash/bank, cheque and daily-finance APIs; disabled mixed/unsupported Finance UI routes. See docs/FINANCE_EXPENSE_SQL_SCREEN_AUDIT_2026-10-02.md.</x:v>
      </x:c>
    </x:row>
    <x:row r="60">
      <x:c r="A60" s="20" t="str">
        <x:v>SQL-059</x:v>
      </x:c>
      <x:c r="B60" s="20" t="str">
        <x:v>5. Finance and expenses</x:v>
      </x:c>
      <x:c r="C60" s="20" t="str">
        <x:v>5. Finance and expenses</x:v>
      </x:c>
      <x:c r="D60" s="20" t="str">
        <x:v>Inventory Expenses pages: Tracker, Categories, Recurring and Reports; separate operational entry from SQL read-only reports.</x:v>
      </x:c>
      <x:c r="E60" s="20" t="str">
        <x:v>Complete the task and record evidence that the page/API uses only verified existing SQL objects.</x:v>
      </x:c>
      <x:c r="F60" s="20" t="str">
        <x:v>0.1 and 0.2; Sales, Purchase and Customer dependencies</x:v>
      </x:c>
      <x:c r="G60" s="20" t="str">
        <x:v>Done</x:v>
      </x:c>
      <x:c r="H60" s="20" t="str"/>
      <x:c r="I60" s="28"/>
      <x:c r="J60" s="28" t="n">
        <x:v>46297</x:v>
      </x:c>
      <x:c r="K60" s="20" t="str">
        <x:v>Separated expense read/report data from operational entry, categories and recurring screens; entry APIs unavailable and unsafe SQL create/update/delete adapter removed.</x:v>
      </x:c>
    </x:row>
    <x:row r="61">
      <x:c r="A61" s="20" t="str">
        <x:v>SQL-060</x:v>
      </x:c>
      <x:c r="B61" s="20" t="str">
        <x:v>5. Finance and expenses</x:v>
      </x:c>
      <x:c r="C61" s="20" t="str">
        <x:v>5. Finance and expenses</x:v>
      </x:c>
      <x:c r="D61" s="20" t="str">
        <x:v>Trace each screen to existing SQL transaction tables and fields for cash/bank, bills, receipts, cheques, loans, journals, GST, petty-cash close, budgets and recurring schedules.</x:v>
      </x:c>
      <x:c r="E61" s="20" t="str">
        <x:v>Complete the task and record evidence that the page/API uses only verified existing SQL objects.</x:v>
      </x:c>
      <x:c r="F61" s="20" t="str">
        <x:v>0.1 and 0.2; Sales, Purchase and Customer dependencies</x:v>
      </x:c>
      <x:c r="G61" s="20" t="str">
        <x:v>Done</x:v>
      </x:c>
      <x:c r="H61" s="20" t="str"/>
      <x:c r="I61" s="28"/>
      <x:c r="J61" s="28" t="n">
        <x:v>46297</x:v>
      </x:c>
      <x:c r="K61" s="20" t="str">
        <x:v>Mapped dbo.expenseentry source columns and missing receipt/user/tenant/account/approval/reversal fields; documented SQL finance table sources and unsupported lifecycles.</x:v>
      </x:c>
    </x:row>
    <x:row r="62">
      <x:c r="A62" s="20" t="str">
        <x:v>SQL-061</x:v>
      </x:c>
      <x:c r="B62" s="20" t="str">
        <x:v>5. Finance and expenses</x:v>
      </x:c>
      <x:c r="C62" s="20" t="str">
        <x:v>5. Finance and expenses</x:v>
      </x:c>
      <x:c r="D62" s="20" t="str">
        <x:v>Verify opening/current balances, transfer pairs, reconciliation state, dates, void/reversal handling and account identity.</x:v>
      </x:c>
      <x:c r="E62" s="20" t="str">
        <x:v>Complete the task and record evidence that the page/API uses only verified existing SQL objects.</x:v>
      </x:c>
      <x:c r="F62" s="20" t="str">
        <x:v>0.1 and 0.2; Sales, Purchase and Customer dependencies</x:v>
      </x:c>
      <x:c r="G62" s="20" t="str">
        <x:v>Blocked</x:v>
      </x:c>
      <x:c r="H62" s="20" t="str"/>
      <x:c r="I62" s="28"/>
      <x:c r="J62" s="28"/>
      <x:c r="K62" s="20" t="str">
        <x:v>Live sample close and bank statement were unavailable for opening/current balance, transfer-pair, void and reconciliation validation. Operational Finance screens are disabled; do not present report outputs as reconciled balances.</x:v>
      </x:c>
    </x:row>
    <x:row r="63">
      <x:c r="A63" s="20" t="str">
        <x:v>SQL-062</x:v>
      </x:c>
      <x:c r="B63" s="20" t="str">
        <x:v>5. Finance and expenses</x:v>
      </x:c>
      <x:c r="C63" s="20" t="str">
        <x:v>5. Finance and expenses</x:v>
      </x:c>
      <x:c r="D63" s="20" t="str">
        <x:v>Compare SQL report calculations to the exact enabled source set and disclose exclusions; remove Mongo-sourced rows from combined reports.</x:v>
      </x:c>
      <x:c r="E63" s="20" t="str">
        <x:v>Complete the task and record evidence that the page/API uses only verified existing SQL objects.</x:v>
      </x:c>
      <x:c r="F63" s="20" t="str">
        <x:v>0.1 and 0.2; Sales, Purchase and Customer dependencies</x:v>
      </x:c>
      <x:c r="G63" s="20" t="str">
        <x:v>Done</x:v>
      </x:c>
      <x:c r="H63" s="20" t="str"/>
      <x:c r="I63" s="28"/>
      <x:c r="J63" s="28" t="n">
        <x:v>46297</x:v>
      </x:c>
      <x:c r="K63" s="20" t="str">
        <x:v>Audited SQL report source sets and disclosed exclusions and assumptions: expense amount uses exoutamt, payment mode defaults cash, void state is unmapped; Finance reports use SQL only.</x:v>
      </x:c>
    </x:row>
    <x:row r="64">
      <x:c r="A64" s="20" t="str">
        <x:v>SQL-063</x:v>
      </x:c>
      <x:c r="B64" s="20" t="str">
        <x:v>5. Finance and expenses</x:v>
      </x:c>
      <x:c r="C64" s="20" t="str">
        <x:v>5. Finance and expenses</x:v>
      </x:c>
      <x:c r="D64" s="20" t="str">
        <x:v>Reuse existing dbo.expenseentry and category tables only after validating keys, fields and lifecycle; keep recurring behavior unavailable if no compatible schedule table exists.</x:v>
      </x:c>
      <x:c r="E64" s="20" t="str">
        <x:v>Complete the task and record evidence that the page/API uses only verified existing SQL objects.</x:v>
      </x:c>
      <x:c r="F64" s="20" t="str">
        <x:v>0.1 and 0.2; Sales, Purchase and Customer dependencies</x:v>
      </x:c>
      <x:c r="G64" s="20" t="str">
        <x:v>Done</x:v>
      </x:c>
      <x:c r="H64" s="20" t="str"/>
      <x:c r="I64" s="28"/>
      <x:c r="J64" s="28" t="n">
        <x:v>46297</x:v>
      </x:c>
      <x:c r="K64" s="20" t="str">
        <x:v>Expense categories now read existing dbo.expensegroup/dbo.expensename via SQL master mapping; no budget/approval/recurring behavior is inferred and write handlers are unavailable.</x:v>
      </x:c>
    </x:row>
    <x:row r="65">
      <x:c r="A65" s="20" t="str">
        <x:v>SQL-064</x:v>
      </x:c>
      <x:c r="B65" s="20" t="str">
        <x:v>5. Finance and expenses</x:v>
      </x:c>
      <x:c r="C65" s="20" t="str">
        <x:v>5. Finance and expenses</x:v>
      </x:c>
      <x:c r="D65" s="20" t="str">
        <x:v>Remove Mongo Bill, BankAccount, Expense and finance model queries from enabled SQL report and operation paths.</x:v>
      </x:c>
      <x:c r="E65" s="20" t="str">
        <x:v>Complete the task and record evidence that the page/API uses only verified existing SQL objects.</x:v>
      </x:c>
      <x:c r="F65" s="20" t="str">
        <x:v>0.1 and 0.2; Sales, Purchase and Customer dependencies</x:v>
      </x:c>
      <x:c r="G65" s="20" t="str">
        <x:v>Done</x:v>
      </x:c>
      <x:c r="H65" s="20" t="str"/>
      <x:c r="I65" s="28"/>
      <x:c r="J65" s="28" t="n">
        <x:v>46297</x:v>
      </x:c>
      <x:c r="K65" s="20" t="str">
        <x:v>Enabled finance report and cash/bank routes use SQL adapters only; expense and finance Mongo model paths are outside the SQL route graph. See finance screen audit.</x:v>
      </x:c>
    </x:row>
    <x:row r="66">
      <x:c r="A66" s="20" t="str">
        <x:v>SQL-065</x:v>
      </x:c>
      <x:c r="B66" s="20" t="str">
        <x:v>6. HR, payroll and commission</x:v>
      </x:c>
      <x:c r="C66" s="20" t="str">
        <x:v>6. HR, payroll and commission</x:v>
      </x:c>
      <x:c r="D66" s="20" t="str">
        <x:v>Inventory Staff Management, Payroll, Allowances, Attendance, Daily Board, Payslips, Salary Structures, Advances and Commission screens.</x:v>
      </x:c>
      <x:c r="E66" s="20" t="str">
        <x:v>Complete the task and record evidence that the page/API uses only verified existing SQL objects.</x:v>
      </x:c>
      <x:c r="F66" s="20" t="str">
        <x:v>0.1 and 0.2</x:v>
      </x:c>
      <x:c r="G66" s="20" t="str">
        <x:v>Done</x:v>
      </x:c>
      <x:c r="H66" s="20" t="str"/>
      <x:c r="I66" s="28"/>
      <x:c r="J66" s="28" t="n">
        <x:v>46297</x:v>
      </x:c>
      <x:c r="K66" s="20" t="str">
        <x:v>Inventoried staff, payroll, allowances, attendance, daily board, payslips, salary structure, advances and commission screens; unsupported HR workflows now display unavailable state.</x:v>
      </x:c>
    </x:row>
    <x:row r="67">
      <x:c r="A67" s="20" t="str">
        <x:v>SQL-066</x:v>
      </x:c>
      <x:c r="B67" s="20" t="str">
        <x:v>6. HR, payroll and commission</x:v>
      </x:c>
      <x:c r="C67" s="20" t="str">
        <x:v>6. HR, payroll and commission</x:v>
      </x:c>
      <x:c r="D67" s="20" t="str">
        <x:v>Verify existing employee identifier and compatible attendance, payroll-period, component, deduction, payment and payslip fields.</x:v>
      </x:c>
      <x:c r="E67" s="20" t="str">
        <x:v>Complete the task and record evidence that the page/API uses only verified existing SQL objects.</x:v>
      </x:c>
      <x:c r="F67" s="20" t="str">
        <x:v>0.1 and 0.2</x:v>
      </x:c>
      <x:c r="G67" s="20" t="str">
        <x:v>Blocked</x:v>
      </x:c>
      <x:c r="H67" s="20" t="str"/>
      <x:c r="I67" s="28"/>
      <x:c r="J67" s="28"/>
      <x:c r="K67" s="20" t="str">
        <x:v>Read-only live audit found zero dbo.newemployee rows and no primary/unique index on code; code generation uses MAX+1. No stable employee key can be verified.</x:v>
      </x:c>
    </x:row>
    <x:row r="68">
      <x:c r="A68" s="20" t="str">
        <x:v>SQL-067</x:v>
      </x:c>
      <x:c r="B68" s="20" t="str">
        <x:v>6. HR, payroll and commission</x:v>
      </x:c>
      <x:c r="C68" s="20" t="str">
        <x:v>6. HR, payroll and commission</x:v>
      </x:c>
      <x:c r="D68" s="20" t="str">
        <x:v>Map each workflow; do not infer payroll storage from the presence of an employee table.</x:v>
      </x:c>
      <x:c r="E68" s="20" t="str">
        <x:v>Complete the task and record evidence that the page/API uses only verified existing SQL objects.</x:v>
      </x:c>
      <x:c r="F68" s="20" t="str">
        <x:v>0.1 and 0.2</x:v>
      </x:c>
      <x:c r="G68" s="20" t="str">
        <x:v>Done</x:v>
      </x:c>
      <x:c r="H68" s="20" t="str"/>
      <x:c r="I68" s="28"/>
      <x:c r="J68" s="28" t="n">
        <x:v>46297</x:v>
      </x:c>
      <x:c r="K68" s="20" t="str">
        <x:v>Mapped newemployee master versus absent attendance/pay-period/payroll/payslip/payment lifecycles; HR writes and workflows disabled instead of persisting unsupported data.</x:v>
      </x:c>
    </x:row>
    <x:row r="69">
      <x:c r="A69" s="20" t="str">
        <x:v>SQL-068</x:v>
      </x:c>
      <x:c r="B69" s="20" t="str">
        <x:v>6. HR, payroll and commission</x:v>
      </x:c>
      <x:c r="C69" s="20" t="str">
        <x:v>6. HR, payroll and commission</x:v>
      </x:c>
      <x:c r="D69" s="20" t="str">
        <x:v>Verify commission inputs (invoice, product/category, employee/user), calculation basis and payout history against existing SQL data.</x:v>
      </x:c>
      <x:c r="E69" s="20" t="str">
        <x:v>Complete the task and record evidence that the page/API uses only verified existing SQL objects.</x:v>
      </x:c>
      <x:c r="F69" s="20" t="str">
        <x:v>0.1 and 0.2</x:v>
      </x:c>
      <x:c r="G69" s="20" t="str">
        <x:v>Blocked</x:v>
      </x:c>
      <x:c r="H69" s="20" t="str"/>
      <x:c r="I69" s="28"/>
      <x:c r="J69" s="28"/>
      <x:c r="K69" s="20" t="str">
        <x:v>Commission rules have no employee FK and no payout ledger; dbo.newemployee is empty and code linkage to salsntry.sls_man cannot be verified. Commission UI remains unavailable.</x:v>
      </x:c>
    </x:row>
    <x:row r="70">
      <x:c r="A70" s="20" t="str">
        <x:v>SQL-069</x:v>
      </x:c>
      <x:c r="B70" s="20" t="str">
        <x:v>6. HR, payroll and commission</x:v>
      </x:c>
      <x:c r="C70" s="20" t="str">
        <x:v>6. HR, payroll and commission</x:v>
      </x:c>
      <x:c r="D70" s="20" t="str">
        <x:v>Where no compatible existing SQL transaction table exists, keep the operation explicitly unavailable; do not persist payroll JSON in employee notes/config.</x:v>
      </x:c>
      <x:c r="E70" s="20" t="str">
        <x:v>Complete the task and record evidence that the page/API uses only verified existing SQL objects.</x:v>
      </x:c>
      <x:c r="F70" s="20" t="str">
        <x:v>0.1 and 0.2</x:v>
      </x:c>
      <x:c r="G70" s="20" t="str">
        <x:v>Done</x:v>
      </x:c>
      <x:c r="H70" s="20" t="str"/>
      <x:c r="I70" s="28"/>
      <x:c r="J70" s="28" t="n">
        <x:v>46297</x:v>
      </x:c>
      <x:c r="K70" s="20" t="str">
        <x:v>Disabled payroll, attendance, payslip, allowance, advance and commission workflows when compatible SQL transaction lifecycles are absent; removed HR SQL writes.</x:v>
      </x:c>
    </x:row>
    <x:row r="71">
      <x:c r="A71" s="20" t="str">
        <x:v>SQL-070</x:v>
      </x:c>
      <x:c r="B71" s="20" t="str">
        <x:v>7. Offers, marketing and communications</x:v>
      </x:c>
      <x:c r="C71" s="20" t="str">
        <x:v>7. Offers, marketing and communications</x:v>
      </x:c>
      <x:c r="D71" s="20" t="str">
        <x:v>Inventory Combo Offers, free-product/quantity schemes, discount configuration, coupons and offer reporting.</x:v>
      </x:c>
      <x:c r="E71" s="20" t="str">
        <x:v>Complete the task and record evidence that the page/API uses only verified existing SQL objects.</x:v>
      </x:c>
      <x:c r="F71" s="20" t="str">
        <x:v>0.1 and 0.2; Inventory and Customer identity where linked</x:v>
      </x:c>
      <x:c r="G71" s="20" t="str">
        <x:v>Done</x:v>
      </x:c>
      <x:c r="H71" s="20" t="str"/>
      <x:c r="I71" s="28"/>
      <x:c r="J71" s="28" t="n">
        <x:v>46297</x:v>
      </x:c>
      <x:c r="K71" s="20" t="str">
        <x:v>Inventoried combo/free-item, discount, coupon and campaign screens; unsupported offer and campaign screens now show unavailable. See docs/COMMISSION_OFFERS_SQL_AUDIT_2026-10-02.md.</x:v>
      </x:c>
    </x:row>
    <x:row r="72">
      <x:c r="A72" s="20" t="str">
        <x:v>SQL-071</x:v>
      </x:c>
      <x:c r="B72" s="20" t="str">
        <x:v>7. Offers, marketing and communications</x:v>
      </x:c>
      <x:c r="C72" s="20" t="str">
        <x:v>7. Offers, marketing and communications</x:v>
      </x:c>
      <x:c r="D72" s="20" t="str">
        <x:v>Verify existing offer tables support eligibility, dates, product/barcode scope, minimum spend/quantity, free quantity, redemption and invoice linkage.</x:v>
      </x:c>
      <x:c r="E72" s="20" t="str">
        <x:v>Complete the task and record evidence that the page/API uses only verified existing SQL objects.</x:v>
      </x:c>
      <x:c r="F72" s="20" t="str">
        <x:v>0.1 and 0.2; Inventory and Customer identity where linked</x:v>
      </x:c>
      <x:c r="G72" s="20" t="str">
        <x:v>Blocked</x:v>
      </x:c>
      <x:c r="H72" s="20" t="str"/>
      <x:c r="I72" s="28"/>
      <x:c r="J72" s="28"/>
      <x:c r="K72" s="20" t="str">
        <x:v>dbo.BarcodewiseComboOffer has zero rows and no verified eligibility/date/redemption/invoice-link/reversal lifecycle; no compatible offer master is available.</x:v>
      </x:c>
    </x:row>
    <x:row r="73">
      <x:c r="A73" s="20" t="str">
        <x:v>SQL-072</x:v>
      </x:c>
      <x:c r="B73" s="20" t="str">
        <x:v>7. Offers, marketing and communications</x:v>
      </x:c>
      <x:c r="C73" s="20" t="str">
        <x:v>7. Offers, marketing and communications</x:v>
      </x:c>
      <x:c r="D73" s="20" t="str">
        <x:v>Verify the SQL bill rows preserve which offer was applied before enabling offer-performance reports.</x:v>
      </x:c>
      <x:c r="E73" s="20" t="str">
        <x:v>Complete the task and record evidence that the page/API uses only verified existing SQL objects.</x:v>
      </x:c>
      <x:c r="F73" s="20" t="str">
        <x:v>0.1 and 0.2; Inventory and Customer identity where linked</x:v>
      </x:c>
      <x:c r="G73" s="20" t="str">
        <x:v>Blocked</x:v>
      </x:c>
      <x:c r="H73" s="20" t="str"/>
      <x:c r="I73" s="28"/>
      <x:c r="J73" s="28"/>
      <x:c r="K73" s="20" t="str">
        <x:v>SQL POS writer does not populate legacy OfferQty/SchemaDiscount/comboname fields; applied offer cannot be traced to a bill. Offer reports stay disabled.</x:v>
      </x:c>
    </x:row>
    <x:row r="74">
      <x:c r="A74" s="20" t="str">
        <x:v>SQL-073</x:v>
      </x:c>
      <x:c r="B74" s="20" t="str">
        <x:v>7. Offers, marketing and communications</x:v>
      </x:c>
      <x:c r="C74" s="20" t="str">
        <x:v>7. Offers, marketing and communications</x:v>
      </x:c>
      <x:c r="D74" s="20" t="str">
        <x:v>Inventory WhatsApp campaigns/templates, marketing, SMS tracker, social integrations, email and storefront separately from external provider connectivity.</x:v>
      </x:c>
      <x:c r="E74" s="20" t="str">
        <x:v>Complete the task and record evidence that the page/API uses only verified existing SQL objects.</x:v>
      </x:c>
      <x:c r="F74" s="20" t="str">
        <x:v>0.1 and 0.2; Inventory and Customer identity where linked</x:v>
      </x:c>
      <x:c r="G74" s="20" t="str">
        <x:v>Done</x:v>
      </x:c>
      <x:c r="H74" s="20" t="str"/>
      <x:c r="I74" s="28"/>
      <x:c r="J74" s="28" t="n">
        <x:v>46297</x:v>
      </x:c>
      <x:c r="K74" s="20" t="str">
        <x:v>Inventoried campaign/templates, WhatsApp, SMS, social, email and storefront screens; all are routed to unavailable where no mounted SQL lifecycle exists.</x:v>
      </x:c>
    </x:row>
    <x:row r="75">
      <x:c r="A75" s="20" t="str">
        <x:v>SQL-074</x:v>
      </x:c>
      <x:c r="B75" s="20" t="str">
        <x:v>7. Offers, marketing and communications</x:v>
      </x:c>
      <x:c r="C75" s="20" t="str">
        <x:v>7. Offers, marketing and communications</x:v>
      </x:c>
      <x:c r="D75" s="20" t="str">
        <x:v>Reuse existing SQL campaign/log tables only if they store the actual required lifecycle; otherwise retain honest not-connected states and disable persistence actions.</x:v>
      </x:c>
      <x:c r="E75" s="20" t="str">
        <x:v>Complete the task and record evidence that the page/API uses only verified existing SQL objects.</x:v>
      </x:c>
      <x:c r="F75" s="20" t="str">
        <x:v>0.1 and 0.2; Inventory and Customer identity where linked</x:v>
      </x:c>
      <x:c r="G75" s="20" t="str">
        <x:v>Done</x:v>
      </x:c>
      <x:c r="H75" s="20" t="str"/>
      <x:c r="I75" s="28"/>
      <x:c r="J75" s="28" t="n">
        <x:v>46297</x:v>
      </x:c>
      <x:c r="K75" s="20" t="str">
        <x:v>No mounted campaign/log route was found for the existing SQL sources; screens remain unavailable and external provider connectivity is not reported as campaign history.</x:v>
      </x:c>
    </x:row>
    <x:row r="76">
      <x:c r="A76" s="20" t="str">
        <x:v>SQL-075</x:v>
      </x:c>
      <x:c r="B76" s="20" t="str">
        <x:v>7. Offers, marketing and communications</x:v>
      </x:c>
      <x:c r="C76" s="20" t="str">
        <x:v>7. Offers, marketing and communications</x:v>
      </x:c>
      <x:c r="D76" s="20" t="str">
        <x:v>Remove Mongo campaign, MetaIntegration, WhatsApp, SMS and combo model usage after all API callers are accounted for.</x:v>
      </x:c>
      <x:c r="E76" s="20" t="str">
        <x:v>Complete the task and record evidence that the page/API uses only verified existing SQL objects.</x:v>
      </x:c>
      <x:c r="F76" s="20" t="str">
        <x:v>0.1 and 0.2; Inventory and Customer identity where linked</x:v>
      </x:c>
      <x:c r="G76" s="20" t="str">
        <x:v>Done</x:v>
      </x:c>
      <x:c r="H76" s="20" t="str"/>
      <x:c r="I76" s="28"/>
      <x:c r="J76" s="28" t="n">
        <x:v>46297</x:v>
      </x:c>
      <x:c r="K76" s="20" t="str">
        <x:v>Removed unmounted Mongo Meta, WhatsApp campaign/template, SMS tracker, combo-offer and engagement-report runtime files and route references after caller search.</x:v>
      </x:c>
    </x:row>
    <x:row r="77">
      <x:c r="A77" s="20" t="str">
        <x:v>SQL-076</x:v>
      </x:c>
      <x:c r="B77" s="20" t="str">
        <x:v>8. System, audit, sync and administration</x:v>
      </x:c>
      <x:c r="C77" s="20" t="str">
        <x:v>8. System, audit, sync and administration</x:v>
      </x:c>
      <x:c r="D77" s="20" t="str">
        <x:v>Inventory General Settings, Master Data, Branch/Store settings, Users/Roles, Discount Limits, Tenants, Audit, Sync and Restore.</x:v>
      </x:c>
      <x:c r="E77" s="20" t="str">
        <x:v>Complete the task and record evidence that the page/API uses only verified existing SQL objects.</x:v>
      </x:c>
      <x:c r="F77" s="20" t="str">
        <x:v>0.1 and 0.2; domain waves for enabled features</x:v>
      </x:c>
      <x:c r="G77" s="20" t="str">
        <x:v>Done</x:v>
      </x:c>
      <x:c r="H77" s="20" t="str"/>
      <x:c r="I77" s="28"/>
      <x:c r="J77" s="28" t="n">
        <x:v>46297</x:v>
      </x:c>
      <x:c r="K77" s="20" t="str">
        <x:v>Inventoried settings, user/org, discount, audit, sync, restore, tenant and master-data routes; unsupported settings/admin screens now show SQL-unavailable state.</x:v>
      </x:c>
    </x:row>
    <x:row r="78">
      <x:c r="A78" s="20" t="str">
        <x:v>SQL-077</x:v>
      </x:c>
      <x:c r="B78" s="20" t="str">
        <x:v>8. System, audit, sync and administration</x:v>
      </x:c>
      <x:c r="C78" s="20" t="str">
        <x:v>8. System, audit, sync and administration</x:v>
      </x:c>
      <x:c r="D78" s="20" t="str">
        <x:v>Keep verified SQL auth/user/org routes; map each settings field only to an existing compatible SQL column/key contract.</x:v>
      </x:c>
      <x:c r="E78" s="20" t="str">
        <x:v>Complete the task and record evidence that the page/API uses only verified existing SQL objects.</x:v>
      </x:c>
      <x:c r="F78" s="20" t="str">
        <x:v>0.1 and 0.2; domain waves for enabled features</x:v>
      </x:c>
      <x:c r="G78" s="20" t="str">
        <x:v>Done</x:v>
      </x:c>
      <x:c r="H78" s="20" t="str"/>
      <x:c r="I78" s="28"/>
      <x:c r="J78" s="28" t="n">
        <x:v>46297</x:v>
      </x:c>
      <x:c r="K78" s="20" t="str">
        <x:v>Documented and retained SQL auth/newuser, limited user/name and discount-limit fields, companydetail business profile, Textilesoft org masters and explicit SQL master allowlist.</x:v>
      </x:c>
    </x:row>
    <x:row r="79">
      <x:c r="A79" s="20" t="str">
        <x:v>SQL-078</x:v>
      </x:c>
      <x:c r="B79" s="20" t="str">
        <x:v>8. System, audit, sync and administration</x:v>
      </x:c>
      <x:c r="C79" s="20" t="str">
        <x:v>8. System, audit, sync and administration</x:v>
      </x:c>
      <x:c r="D79" s="20" t="str">
        <x:v>Verify audit storage can represent actor, entity, action, timestamp and change data before claiming audit completeness.</x:v>
      </x:c>
      <x:c r="E79" s="20" t="str">
        <x:v>Complete the task and record evidence that the page/API uses only verified existing SQL objects.</x:v>
      </x:c>
      <x:c r="F79" s="20" t="str">
        <x:v>0.1 and 0.2; domain waves for enabled features</x:v>
      </x:c>
      <x:c r="G79" s="20" t="str">
        <x:v>Not Started</x:v>
      </x:c>
      <x:c r="H79" s="20" t="str"/>
      <x:c r="I79" s="28"/>
      <x:c r="J79" s="28"/>
      <x:c r="K79" s="20" t="str"/>
    </x:row>
    <x:row r="80">
      <x:c r="A80" s="20" t="str">
        <x:v>SQL-079</x:v>
      </x:c>
      <x:c r="B80" s="20" t="str">
        <x:v>8. System, audit, sync and administration</x:v>
      </x:c>
      <x:c r="C80" s="20" t="str">
        <x:v>8. System, audit, sync and administration</x:v>
      </x:c>
      <x:c r="D80" s="20" t="str">
        <x:v>Verify sync cursor/conflict/device/ledger state has an existing compatible representation; otherwise disable sync actions and remove Mongo timers/workers.</x:v>
      </x:c>
      <x:c r="E80" s="20" t="str">
        <x:v>Complete the task and record evidence that the page/API uses only verified existing SQL objects.</x:v>
      </x:c>
      <x:c r="F80" s="20" t="str">
        <x:v>0.1 and 0.2; domain waves for enabled features</x:v>
      </x:c>
      <x:c r="G80" s="20" t="str">
        <x:v>Not Started</x:v>
      </x:c>
      <x:c r="H80" s="20" t="str"/>
      <x:c r="I80" s="28"/>
      <x:c r="J80" s="28"/>
      <x:c r="K80" s="20" t="str"/>
    </x:row>
    <x:row r="81">
      <x:c r="A81" s="20" t="str">
        <x:v>SQL-080</x:v>
      </x:c>
      <x:c r="B81" s="20" t="str">
        <x:v>8. System, audit, sync and administration</x:v>
      </x:c>
      <x:c r="C81" s="20" t="str">
        <x:v>8. System, audit, sync and administration</x:v>
      </x:c>
      <x:c r="D81" s="20" t="str">
        <x:v>Verify restore targets and recovery workflows use only SQL and do not invoke Mongo backup/restore tooling.</x:v>
      </x:c>
      <x:c r="E81" s="20" t="str">
        <x:v>Complete the task and record evidence that the page/API uses only verified existing SQL objects.</x:v>
      </x:c>
      <x:c r="F81" s="20" t="str">
        <x:v>0.1 and 0.2; domain waves for enabled features</x:v>
      </x:c>
      <x:c r="G81" s="20" t="str">
        <x:v>Not Started</x:v>
      </x:c>
      <x:c r="H81" s="20" t="str"/>
      <x:c r="I81" s="28"/>
      <x:c r="J81" s="28"/>
      <x:c r="K81" s="20" t="str"/>
    </x:row>
    <x:row r="82">
      <x:c r="A82" s="20" t="str">
        <x:v>SQL-081</x:v>
      </x:c>
      <x:c r="B82" s="20" t="str">
        <x:v>8. System, audit, sync and administration</x:v>
      </x:c>
      <x:c r="C82" s="20" t="str">
        <x:v>8. System, audit, sync and administration</x:v>
      </x:c>
      <x:c r="D82" s="20" t="str">
        <x:v>Remove Mongo tenant lookup, auth type/runtime dependency, settings and audit queries from the active route graph.</x:v>
      </x:c>
      <x:c r="E82" s="20" t="str">
        <x:v>Complete the task and record evidence that the page/API uses only verified existing SQL objects.</x:v>
      </x:c>
      <x:c r="F82" s="20" t="str">
        <x:v>0.1 and 0.2; domain waves for enabled features</x:v>
      </x:c>
      <x:c r="G82" s="20" t="str">
        <x:v>Not Started</x:v>
      </x:c>
      <x:c r="H82" s="20" t="str"/>
      <x:c r="I82" s="28"/>
      <x:c r="J82" s="28"/>
      <x:c r="K82" s="20" t="str"/>
    </x:row>
    <x:row r="83">
      <x:c r="A83" s="20" t="str">
        <x:v>SQL-082</x:v>
      </x:c>
      <x:c r="B83" s="20" t="str">
        <x:v>9. Remove Mongo code and runtime dependencies</x:v>
      </x:c>
      <x:c r="C83" s="20" t="str">
        <x:v>9. Remove Mongo code and runtime dependencies</x:v>
      </x:c>
      <x:c r="D83" s="20" t="str">
        <x:v>Enumerate every remaining mongoose, mongodb, MongoClient, ObjectId, MONGO_*, mirror and fallback reference; classify type-only, docs, tests, scripts and runtime separately.</x:v>
      </x:c>
      <x:c r="E83" s="20" t="str">
        <x:v>Complete the task and record evidence that the page/API uses only verified existing SQL objects.</x:v>
      </x:c>
      <x:c r="F83" s="20" t="str">
        <x:v>Waves 1-8 complete or feature explicitly unavailable</x:v>
      </x:c>
      <x:c r="G83" s="20" t="str">
        <x:v>Not Started</x:v>
      </x:c>
      <x:c r="H83" s="20" t="str"/>
      <x:c r="I83" s="28"/>
      <x:c r="J83" s="28"/>
      <x:c r="K83" s="20" t="str"/>
    </x:row>
    <x:row r="84">
      <x:c r="A84" s="20" t="str">
        <x:v>SQL-083</x:v>
      </x:c>
      <x:c r="B84" s="20" t="str">
        <x:v>9. Remove Mongo code and runtime dependencies</x:v>
      </x:c>
      <x:c r="C84" s="20" t="str">
        <x:v>9. Remove Mongo code and runtime dependencies</x:v>
      </x:c>
      <x:c r="D84" s="20" t="str">
        <x:v>Remove unreachable legacy route mounts, Mongo controllers/services/repositories/models/interfaces and their tests after confirming no imports/callers remain.</x:v>
      </x:c>
      <x:c r="E84" s="20" t="str">
        <x:v>Complete the task and record evidence that the page/API uses only verified existing SQL objects.</x:v>
      </x:c>
      <x:c r="F84" s="20" t="str">
        <x:v>Waves 1-8 complete or feature explicitly unavailable</x:v>
      </x:c>
      <x:c r="G84" s="20" t="str">
        <x:v>Not Started</x:v>
      </x:c>
      <x:c r="H84" s="20" t="str"/>
      <x:c r="I84" s="28"/>
      <x:c r="J84" s="28"/>
      <x:c r="K84" s="20" t="str"/>
    </x:row>
    <x:row r="85">
      <x:c r="A85" s="20" t="str">
        <x:v>SQL-084</x:v>
      </x:c>
      <x:c r="B85" s="20" t="str">
        <x:v>9. Remove Mongo code and runtime dependencies</x:v>
      </x:c>
      <x:c r="C85" s="20" t="str">
        <x:v>9. Remove Mongo code and runtime dependencies</x:v>
      </x:c>
      <x:c r="D85" s="20" t="str">
        <x:v>Remove Mongo seed/migration/backup/restore scripts from supported operations; archive any approved one-time export tooling outside the application runtime and without credentials.</x:v>
      </x:c>
      <x:c r="E85" s="20" t="str">
        <x:v>Complete the task and record evidence that the page/API uses only verified existing SQL objects.</x:v>
      </x:c>
      <x:c r="F85" s="20" t="str">
        <x:v>Waves 1-8 complete or feature explicitly unavailable</x:v>
      </x:c>
      <x:c r="G85" s="20" t="str">
        <x:v>Not Started</x:v>
      </x:c>
      <x:c r="H85" s="20" t="str"/>
      <x:c r="I85" s="28"/>
      <x:c r="J85" s="28"/>
      <x:c r="K85" s="20" t="str"/>
    </x:row>
    <x:row r="86">
      <x:c r="A86" s="20" t="str">
        <x:v>SQL-085</x:v>
      </x:c>
      <x:c r="B86" s="20" t="str">
        <x:v>9. Remove Mongo code and runtime dependencies</x:v>
      </x:c>
      <x:c r="C86" s="20" t="str">
        <x:v>9. Remove Mongo code and runtime dependencies</x:v>
      </x:c>
      <x:c r="D86" s="20" t="str">
        <x:v>Remove Mongo package dependencies, environment variables, Docker services/volumes, health checks and deployment documentation.</x:v>
      </x:c>
      <x:c r="E86" s="20" t="str">
        <x:v>Complete the task and record evidence that the page/API uses only verified existing SQL objects.</x:v>
      </x:c>
      <x:c r="F86" s="20" t="str">
        <x:v>Waves 1-8 complete or feature explicitly unavailable</x:v>
      </x:c>
      <x:c r="G86" s="20" t="str">
        <x:v>Not Started</x:v>
      </x:c>
      <x:c r="H86" s="20" t="str"/>
      <x:c r="I86" s="28"/>
      <x:c r="J86" s="28"/>
      <x:c r="K86" s="20" t="str"/>
    </x:row>
    <x:row r="87">
      <x:c r="A87" s="20" t="str">
        <x:v>SQL-086</x:v>
      </x:c>
      <x:c r="B87" s="20" t="str">
        <x:v>9. Remove Mongo code and runtime dependencies</x:v>
      </x:c>
      <x:c r="C87" s="20" t="str">
        <x:v>9. Remove Mongo code and runtime dependencies</x:v>
      </x:c>
      <x:c r="D87" s="20" t="str">
        <x:v>Remove stale Mongo assumptions from frontend API clients/types and validate every remaining menu item routes to SQL or a clear unavailable state.</x:v>
      </x:c>
      <x:c r="E87" s="20" t="str">
        <x:v>Complete the task and record evidence that the page/API uses only verified existing SQL objects.</x:v>
      </x:c>
      <x:c r="F87" s="20" t="str">
        <x:v>Waves 1-8 complete or feature explicitly unavailable</x:v>
      </x:c>
      <x:c r="G87" s="20" t="str">
        <x:v>Not Started</x:v>
      </x:c>
      <x:c r="H87" s="20" t="str"/>
      <x:c r="I87" s="28"/>
      <x:c r="J87" s="28"/>
      <x:c r="K87" s="20" t="str"/>
    </x:row>
    <x:row r="88">
      <x:c r="A88" s="20" t="str">
        <x:v>SQL-087</x:v>
      </x:c>
      <x:c r="B88" s="20" t="str">
        <x:v>9. Remove Mongo code and runtime dependencies</x:v>
      </x:c>
      <x:c r="C88" s="20" t="str">
        <x:v>9. Remove Mongo code and runtime dependencies</x:v>
      </x:c>
      <x:c r="D88" s="20" t="str">
        <x:v>Run backend/frontend type checks, builds, relevant tests and static scans; perform a staging run with Mongo unreachable and no Mongo credentials.</x:v>
      </x:c>
      <x:c r="E88" s="20" t="str">
        <x:v>Complete the task and record evidence that the page/API uses only verified existing SQL objects.</x:v>
      </x:c>
      <x:c r="F88" s="20" t="str">
        <x:v>Waves 1-8 complete or feature explicitly unavailable</x:v>
      </x:c>
      <x:c r="G88" s="20" t="str">
        <x:v>Not Started</x:v>
      </x:c>
      <x:c r="H88" s="20" t="str"/>
      <x:c r="I88" s="28"/>
      <x:c r="J88" s="28"/>
      <x:c r="K88" s="20" t="str"/>
    </x:row>
    <x:row r="89">
      <x:c r="A89" s="20" t="str">
        <x:v>SQL-088</x:v>
      </x:c>
      <x:c r="B89" s="20" t="str">
        <x:v>9. Remove Mongo code and runtime dependencies</x:v>
      </x:c>
      <x:c r="C89" s="20" t="str">
        <x:v>9. Remove Mongo code and runtime dependencies</x:v>
      </x:c>
      <x:c r="D89" s="20" t="str">
        <x:v>Verify SQL credentials cannot perform DDL and no migration command is invoked at startup or deployment.</x:v>
      </x:c>
      <x:c r="E89" s="20" t="str">
        <x:v>Complete the task and record evidence that the page/API uses only verified existing SQL objects.</x:v>
      </x:c>
      <x:c r="F89" s="20" t="str">
        <x:v>Waves 1-8 complete or feature explicitly unavailable</x:v>
      </x:c>
      <x:c r="G89" s="20" t="str">
        <x:v>Not Started</x:v>
      </x:c>
      <x:c r="H89" s="20" t="str"/>
      <x:c r="I89" s="28"/>
      <x:c r="J89" s="28"/>
      <x:c r="K89" s="20" t="str"/>
    </x:row>
  </x:sheetData>
  <x:conditionalFormatting sqref="G2:G89">
    <x:cfRule type="containsText" dxfId="0" priority="1" operator="containsText" text="Done"/>
    <x:cfRule type="containsText" dxfId="1" priority="2" operator="containsText" text="Blocked"/>
    <x:cfRule type="containsText" dxfId="2" priority="3" operator="containsText" text="In Progress"/>
  </x:conditionalFormatting>
  <x:dataValidations count="1">
    <x:dataValidation type="list" sqref="G2:G89">
      <x:formula1>"Not Started,In Progress,Blocked,Done"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b8e94ae8e2a426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58" hidden="0" customWidth="1"/>
    <x:col min="3" max="3" width="46" hidden="0" customWidth="1"/>
    <x:col min="4" max="4" width="70" hidden="0" customWidth="1"/>
    <x:col min="5" max="5" width="16" hidden="0" customWidth="1"/>
    <x:col min="6" max="6" width="18" hidden="0" customWidth="1"/>
    <x:col min="7" max="7" width="48" hidden="0" customWidth="1"/>
  </x:cols>
  <x:sheetData>
    <x:row r="1" ht="32" customHeight="1">
      <x:c r="A1" s="27" t="str">
        <x:v>Blocker ID</x:v>
      </x:c>
      <x:c r="B1" s="27" t="str">
        <x:v>Blocker</x:v>
      </x:c>
      <x:c r="C1" s="27" t="str">
        <x:v>Blocks</x:v>
      </x:c>
      <x:c r="D1" s="27" t="str">
        <x:v>Resolution evidence</x:v>
      </x:c>
      <x:c r="E1" s="27" t="str">
        <x:v>Status</x:v>
      </x:c>
      <x:c r="F1" s="27" t="str">
        <x:v>Owner</x:v>
      </x:c>
      <x:c r="G1" s="27" t="str">
        <x:v>Notes</x:v>
      </x:c>
    </x:row>
    <x:row r="2">
      <x:c r="A2" s="20" t="str">
        <x:v>B-01</x:v>
      </x:c>
      <x:c r="B2" s="20" t="str">
        <x:v>Customer SQL key is not proven stable/unique for all linked workflows</x:v>
      </x:c>
      <x:c r="C2" s="20" t="str">
        <x:v>Customer CRUD, credit sales, receipts, dues, loyalty, customer reports</x:v>
      </x:c>
      <x:c r="D2" s="20" t="str">
        <x:v>Existing deployed allocation/write-path evidence and end-to-end joins; no crosswalk table</x:v>
      </x:c>
      <x:c r="E2" s="20" t="str">
        <x:v>Open</x:v>
      </x:c>
      <x:c r="F2" s="20" t="str"/>
      <x:c r="G2" s="20" t="str"/>
    </x:row>
    <x:row r="3">
      <x:c r="A3" s="20" t="str">
        <x:v>B-02</x:v>
      </x:c>
      <x:c r="B3" s="20" t="str">
        <x:v>POS SQL writer references existing `erp.sales_idempotency` and `erp.sales_return_allocation`</x:v>
      </x:c>
      <x:c r="C3" s="20" t="str">
        <x:v>POS retry safety and exact return-to-sale allocation</x:v>
      </x:c>
      <x:c r="D3" s="20" t="str">
        <x:v>Read-only proof of deployed objects and compatible definitions; never apply migration 004</x:v>
      </x:c>
      <x:c r="E3" s="20" t="str">
        <x:v>Open</x:v>
      </x:c>
      <x:c r="F3" s="20" t="str"/>
      <x:c r="G3" s="20" t="str">
        <x:v>Also missing erp.supplier_group_member, referenced by sqlPartyReports.ts; no migration permitted.</x:v>
      </x:c>
    </x:row>
    <x:row r="4">
      <x:c r="A4" s="20" t="str">
        <x:v>B-03</x:v>
      </x:c>
      <x:c r="B4" s="20" t="str">
        <x:v>Sales Orders, Estimates and Delivery Challans lack confirmed compatible SQL lifecycle storage</x:v>
      </x:c>
      <x:c r="C4" s="20" t="str">
        <x:v>Those transactional screens</x:v>
      </x:c>
      <x:c r="D4" s="20" t="str">
        <x:v>Table/column/key/state mapping with data evidence, or explicit reduced/unavailable behavior</x:v>
      </x:c>
      <x:c r="E4" s="20" t="str">
        <x:v>Open</x:v>
      </x:c>
      <x:c r="F4" s="20" t="str"/>
      <x:c r="G4" s="20" t="str"/>
    </x:row>
    <x:row r="5">
      <x:c r="A5" s="20" t="str">
        <x:v>B-04</x:v>
      </x:c>
      <x:c r="B5" s="20" t="str">
        <x:v>Receipts, supplier payments and bank/cash effects need linked SQL ledger semantics</x:v>
      </x:c>
      <x:c r="C5" s="20" t="str">
        <x:v>Payment-in/out, dues, payables and balances</x:v>
      </x:c>
      <x:c r="D5" s="20" t="str">
        <x:v>Verified existing allocation/account ledger tables and reconciled sample transactions</x:v>
      </x:c>
      <x:c r="E5" s="20" t="str">
        <x:v>Open</x:v>
      </x:c>
      <x:c r="F5" s="20" t="str"/>
      <x:c r="G5" s="20" t="str"/>
    </x:row>
    <x:row r="6">
      <x:c r="A6" s="20" t="str">
        <x:v>B-05</x:v>
      </x:c>
      <x:c r="B6" s="20" t="str">
        <x:v>Several pages call legacy API paths while SQL-only app mounts different routes</x:v>
      </x:c>
      <x:c r="C6" s="20" t="str">
        <x:v>UI/API completion across all waves</x:v>
      </x:c>
      <x:c r="D6" s="20" t="str">
        <x:v>Endpoint-level route map and UI rewiring</x:v>
      </x:c>
      <x:c r="E6" s="20" t="str">
        <x:v>Open</x:v>
      </x:c>
      <x:c r="F6" s="20" t="str"/>
      <x:c r="G6" s="20" t="str"/>
    </x:row>
    <x:row r="7">
      <x:c r="A7" s="20" t="str">
        <x:v>B-06</x:v>
      </x:c>
      <x:c r="B7" s="20" t="str">
        <x:v>HR/payroll, audit, sync, marketing persistence have no verified full SQL target</x:v>
      </x:c>
      <x:c r="C7" s="20" t="str">
        <x:v>Those workflows</x:v>
      </x:c>
      <x:c r="D7" s="20" t="str">
        <x:v>Existing compatible SQL object evidence or accepted unavailable states</x:v>
      </x:c>
      <x:c r="E7" s="20" t="str">
        <x:v>Open</x:v>
      </x:c>
      <x:c r="F7" s="20" t="str"/>
      <x:c r="G7" s="20" t="str"/>
    </x:row>
    <x:row r="8">
      <x:c r="A8" t="str">
        <x:v>B-07</x:v>
      </x:c>
      <x:c r="B8" t="str">
        <x:v>Elevated erp_admin credentials remain available to the backend runtime and grant-recovery path</x:v>
      </x:c>
      <x:c r="C8" t="str">
        <x:v>SQL least privilege and task SQL-002</x:v>
      </x:c>
      <x:c r="D8" t="str">
        <x:v>Remove elevated credentials from normal runtime or provide a separately controlled provisioning process; verify runtime principals have no DDL</x:v>
      </x:c>
      <x:c r="E8" t="str">
        <x:v>Open</x:v>
      </x:c>
      <x:c r="F8" t="str">
        <x:v>Backend/DBA</x:v>
      </x:c>
      <x:c r="G8" t="str">
        <x:v>erp_admin is sysadmin/db_owner/db_ddladmin in SSS_copy; no permission changes made.</x:v>
      </x:c>
    </x:row>
    <x:row r="9">
      <x:c r="A9" t="str">
        <x:v>B-08</x:v>
      </x:c>
      <x:c r="B9" t="str">
        <x:v>Separate ERP_SQL database connection is not configured</x:v>
      </x:c>
      <x:c r="C9" t="str">
        <x:v>Any workflow requiring a separate ERP-owned SQL database</x:v>
      </x:c>
      <x:c r="D9" t="str">
        <x:v>Configure and verify an existing separate SQL database only if required; no table creation or schema changes</x:v>
      </x:c>
      <x:c r="E9" t="str">
        <x:v>Open</x:v>
      </x:c>
      <x:c r="F9" t="str">
        <x:v>Backend/DBA</x:v>
      </x:c>
      <x:c r="G9" t="str">
        <x:v>ERP_SQL_DB_NAME/user/password are absent; check:erp-sql stops before connecting. Existing SSS erp.* adapters use SSS_copy.</x:v>
      </x:c>
    </x:row>
  </x:sheetData>
  <x:conditionalFormatting sqref="E2:E7">
    <x:cfRule type="containsText" dxfId="3" priority="1" operator="containsText" text="Open"/>
  </x:conditionalFormatting>
  <x:dataValidations count="1">
    <x:dataValidation type="list" sqref="E2:E7">
      <x:formula1>"Open,In Progress,Resolved"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a0e7e4cc1ae40a1"/>
  </x:tableParts>
</x:worksheet>
</file>